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5.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6.xml" ContentType="application/vnd.openxmlformats-officedocument.drawing+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pivotTables/pivotTable4.xml" ContentType="application/vnd.openxmlformats-officedocument.spreadsheetml.pivotTable+xml"/>
  <Override PartName="/xl/drawings/drawing10.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drawings/drawing11.xml" ContentType="application/vnd.openxmlformats-officedocument.drawing+xml"/>
  <Override PartName="/xl/tables/table8.xml" ContentType="application/vnd.openxmlformats-officedocument.spreadsheetml.table+xml"/>
  <Override PartName="/xl/pivotTables/pivotTable6.xml" ContentType="application/vnd.openxmlformats-officedocument.spreadsheetml.pivotTable+xml"/>
  <Override PartName="/xl/drawings/drawing12.xml" ContentType="application/vnd.openxmlformats-officedocument.drawing+xml"/>
  <Override PartName="/xl/tables/table9.xml" ContentType="application/vnd.openxmlformats-officedocument.spreadsheetml.table+xml"/>
  <Override PartName="/xl/pivotTables/pivotTable7.xml" ContentType="application/vnd.openxmlformats-officedocument.spreadsheetml.pivotTable+xml"/>
  <Override PartName="/xl/drawings/drawing13.xml" ContentType="application/vnd.openxmlformats-officedocument.drawing+xml"/>
  <Override PartName="/xl/tables/table10.xml" ContentType="application/vnd.openxmlformats-officedocument.spreadsheetml.table+xml"/>
  <Override PartName="/xl/pivotTables/pivotTable8.xml" ContentType="application/vnd.openxmlformats-officedocument.spreadsheetml.pivotTable+xml"/>
  <Override PartName="/xl/drawings/drawing14.xml" ContentType="application/vnd.openxmlformats-officedocument.drawing+xml"/>
  <Override PartName="/xl/tables/table11.xml" ContentType="application/vnd.openxmlformats-officedocument.spreadsheetml.table+xml"/>
  <Override PartName="/xl/pivotTables/pivotTable9.xml" ContentType="application/vnd.openxmlformats-officedocument.spreadsheetml.pivotTable+xml"/>
  <Override PartName="/xl/drawings/drawing15.xml" ContentType="application/vnd.openxmlformats-officedocument.drawing+xml"/>
  <Override PartName="/xl/tables/table12.xml" ContentType="application/vnd.openxmlformats-officedocument.spreadsheetml.table+xml"/>
  <Override PartName="/xl/drawings/drawing16.xml" ContentType="application/vnd.openxmlformats-officedocument.drawing+xml"/>
  <Override PartName="/xl/tables/table13.xml" ContentType="application/vnd.openxmlformats-officedocument.spreadsheetml.table+xml"/>
  <Override PartName="/xl/drawings/drawing17.xml" ContentType="application/vnd.openxmlformats-officedocument.drawing+xml"/>
  <Override PartName="/xl/pivotTables/pivotTable10.xml" ContentType="application/vnd.openxmlformats-officedocument.spreadsheetml.pivotTable+xml"/>
  <Override PartName="/xl/drawings/drawing18.xml" ContentType="application/vnd.openxmlformats-officedocument.drawing+xml"/>
  <Override PartName="/xl/pivotTables/pivotTable11.xml" ContentType="application/vnd.openxmlformats-officedocument.spreadsheetml.pivotTable+xml"/>
  <Override PartName="/xl/drawings/drawing19.xml" ContentType="application/vnd.openxmlformats-officedocument.drawing+xml"/>
  <Override PartName="/xl/pivotTables/pivotTable12.xml" ContentType="application/vnd.openxmlformats-officedocument.spreadsheetml.pivotTable+xml"/>
  <Override PartName="/xl/drawings/drawing20.xml" ContentType="application/vnd.openxmlformats-officedocument.drawing+xml"/>
  <Override PartName="/xl/pivotTables/pivotTable13.xml" ContentType="application/vnd.openxmlformats-officedocument.spreadsheetml.pivotTable+xml"/>
  <Override PartName="/xl/drawings/drawing21.xml" ContentType="application/vnd.openxmlformats-officedocument.drawing+xml"/>
  <Override PartName="/xl/tables/table14.xml" ContentType="application/vnd.openxmlformats-officedocument.spreadsheetml.tab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Buster\Desktop\"/>
    </mc:Choice>
  </mc:AlternateContent>
  <xr:revisionPtr revIDLastSave="0" documentId="13_ncr:1_{3B060259-E6D0-4FF9-AABA-9A0875DA63BF}" xr6:coauthVersionLast="40" xr6:coauthVersionMax="40" xr10:uidLastSave="{00000000-0000-0000-0000-000000000000}"/>
  <bookViews>
    <workbookView xWindow="0" yWindow="0" windowWidth="10800" windowHeight="6850" firstSheet="34" activeTab="35" xr2:uid="{00000000-000D-0000-FFFF-FFFF00000000}"/>
  </bookViews>
  <sheets>
    <sheet name="Summary" sheetId="24" r:id="rId1"/>
    <sheet name="Scores" sheetId="5" r:id="rId2"/>
    <sheet name="Analysis" sheetId="46" r:id="rId3"/>
    <sheet name="Sheet1" sheetId="47" r:id="rId4"/>
    <sheet name="Standings" sheetId="2" r:id="rId5"/>
    <sheet name="Nets" sheetId="45" r:id="rId6"/>
    <sheet name="Lakers" sheetId="44" r:id="rId7"/>
    <sheet name="Timberwolves" sheetId="41" r:id="rId8"/>
    <sheet name="Suns" sheetId="43" r:id="rId9"/>
    <sheet name="76ers" sheetId="42" r:id="rId10"/>
    <sheet name="Start" sheetId="48" r:id="rId11"/>
    <sheet name="1" sheetId="49" r:id="rId12"/>
    <sheet name="2" sheetId="50" r:id="rId13"/>
    <sheet name="3" sheetId="51" r:id="rId14"/>
    <sheet name="4" sheetId="52" r:id="rId15"/>
    <sheet name="5" sheetId="53" r:id="rId16"/>
    <sheet name="6" sheetId="54" r:id="rId17"/>
    <sheet name="7" sheetId="55" r:id="rId18"/>
    <sheet name="8" sheetId="56" r:id="rId19"/>
    <sheet name="9" sheetId="57" r:id="rId20"/>
    <sheet name="10" sheetId="58" r:id="rId21"/>
    <sheet name="11" sheetId="59" r:id="rId22"/>
    <sheet name="12" sheetId="60" r:id="rId23"/>
    <sheet name="13" sheetId="61" r:id="rId24"/>
    <sheet name="14" sheetId="62" r:id="rId25"/>
    <sheet name="15" sheetId="63" r:id="rId26"/>
    <sheet name="16" sheetId="64" r:id="rId27"/>
    <sheet name="17" sheetId="65" r:id="rId28"/>
    <sheet name="18" sheetId="66" r:id="rId29"/>
    <sheet name="19" sheetId="67" r:id="rId30"/>
    <sheet name="20" sheetId="68" r:id="rId31"/>
    <sheet name="Learn more" sheetId="69" r:id="rId32"/>
    <sheet name="Sheet24" sheetId="70" r:id="rId33"/>
    <sheet name="Hornets" sheetId="40" r:id="rId34"/>
    <sheet name="Bulls" sheetId="39" r:id="rId35"/>
    <sheet name="Nuggets" sheetId="38" r:id="rId36"/>
    <sheet name="Trail Blazers" sheetId="37" r:id="rId37"/>
    <sheet name="Heat" sheetId="36" r:id="rId38"/>
    <sheet name="Pacers" sheetId="35" r:id="rId39"/>
    <sheet name="Pelicans" sheetId="17" r:id="rId40"/>
    <sheet name="Jazz" sheetId="18" r:id="rId41"/>
    <sheet name="Thunder" sheetId="13" r:id="rId42"/>
    <sheet name="Mavericks" sheetId="14" r:id="rId43"/>
    <sheet name="Grizzlies" sheetId="15" r:id="rId44"/>
    <sheet name="Kings" sheetId="16" r:id="rId45"/>
    <sheet name="Cavaliers" sheetId="11" r:id="rId46"/>
    <sheet name="Spurs" sheetId="12" r:id="rId47"/>
    <sheet name="Magic" sheetId="8" r:id="rId48"/>
    <sheet name="Raptors" sheetId="9" r:id="rId49"/>
    <sheet name="Pistons" sheetId="6" r:id="rId50"/>
    <sheet name="Knicks" sheetId="10" r:id="rId51"/>
    <sheet name="Celtics" sheetId="7" r:id="rId52"/>
    <sheet name="Warriors" sheetId="23" r:id="rId53"/>
    <sheet name="Rockets" sheetId="22" r:id="rId54"/>
    <sheet name="Wizards" sheetId="21" r:id="rId55"/>
    <sheet name="Clippers" sheetId="20" r:id="rId56"/>
    <sheet name="Hawks" sheetId="19" r:id="rId57"/>
    <sheet name="Bucks" sheetId="33" r:id="rId58"/>
  </sheets>
  <definedNames>
    <definedName name="rng_Expenses20">'20'!$B$15:$E$22</definedName>
  </definedNames>
  <calcPr calcId="191029"/>
  <pivotCaches>
    <pivotCache cacheId="0" r:id="rId59"/>
    <pivotCache cacheId="1" r:id="rId60"/>
    <pivotCache cacheId="2" r:id="rId61"/>
    <pivotCache cacheId="3" r:id="rId62"/>
    <pivotCache cacheId="4" r:id="rId63"/>
    <pivotCache cacheId="5" r:id="rId64"/>
    <pivotCache cacheId="6" r:id="rId65"/>
    <pivotCache cacheId="7" r:id="rId66"/>
    <pivotCache cacheId="8" r:id="rId67"/>
    <pivotCache cacheId="9" r:id="rId68"/>
    <pivotCache cacheId="10" r:id="rId6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A2" i="38" l="1"/>
  <c r="Z2" i="38"/>
  <c r="Y2" i="38"/>
  <c r="X2" i="38"/>
  <c r="W3" i="7"/>
  <c r="V3" i="7"/>
  <c r="U3" i="7"/>
  <c r="T3" i="7"/>
  <c r="S23" i="7"/>
  <c r="S24" i="7"/>
  <c r="S25" i="7"/>
  <c r="S26" i="7"/>
  <c r="S27" i="7"/>
  <c r="S28" i="7"/>
  <c r="S29" i="7"/>
  <c r="S30" i="7"/>
  <c r="S31" i="7"/>
  <c r="S32" i="7"/>
  <c r="S33" i="7"/>
  <c r="S34" i="7"/>
  <c r="S35" i="7"/>
  <c r="S36" i="7"/>
  <c r="S37" i="7"/>
  <c r="S38" i="7"/>
  <c r="S22" i="7"/>
  <c r="R23" i="7"/>
  <c r="R24" i="7"/>
  <c r="R25" i="7"/>
  <c r="R26" i="7"/>
  <c r="R27" i="7"/>
  <c r="R28" i="7"/>
  <c r="R29" i="7"/>
  <c r="R30" i="7"/>
  <c r="R31" i="7"/>
  <c r="R32" i="7"/>
  <c r="R33" i="7"/>
  <c r="R34" i="7"/>
  <c r="R35" i="7"/>
  <c r="R36" i="7"/>
  <c r="R37" i="7"/>
  <c r="R38" i="7"/>
  <c r="R22" i="7"/>
  <c r="Q23" i="7"/>
  <c r="Q24" i="7"/>
  <c r="Q25" i="7"/>
  <c r="Q26" i="7"/>
  <c r="Q27" i="7"/>
  <c r="Q28" i="7"/>
  <c r="Q29" i="7"/>
  <c r="Q30" i="7"/>
  <c r="Q31" i="7"/>
  <c r="Q32" i="7"/>
  <c r="Q33" i="7"/>
  <c r="Q34" i="7"/>
  <c r="Q35" i="7"/>
  <c r="Q36" i="7"/>
  <c r="Q37" i="7"/>
  <c r="Q38" i="7"/>
  <c r="Q22" i="7"/>
  <c r="Y2" i="7"/>
  <c r="X2" i="7"/>
  <c r="Z2" i="7"/>
  <c r="AA2" i="7"/>
  <c r="W3" i="14"/>
  <c r="V3" i="14"/>
  <c r="U3" i="14"/>
  <c r="T3" i="14"/>
  <c r="AA2" i="14"/>
  <c r="Z2" i="14"/>
  <c r="Y2" i="14"/>
  <c r="X2" i="14"/>
  <c r="S3" i="14"/>
  <c r="S4" i="14"/>
  <c r="S5" i="14"/>
  <c r="S6" i="14"/>
  <c r="S7" i="14"/>
  <c r="S8" i="14"/>
  <c r="S9" i="14"/>
  <c r="S10" i="14"/>
  <c r="S11" i="14"/>
  <c r="S12" i="14"/>
  <c r="S13" i="14"/>
  <c r="S14" i="14"/>
  <c r="S15" i="14"/>
  <c r="S16" i="14"/>
  <c r="S17" i="14"/>
  <c r="S18" i="14"/>
  <c r="S19" i="14"/>
  <c r="S20" i="14"/>
  <c r="S2" i="14"/>
  <c r="R3" i="14"/>
  <c r="R4" i="14"/>
  <c r="R5" i="14"/>
  <c r="R6" i="14"/>
  <c r="R7" i="14"/>
  <c r="R8" i="14"/>
  <c r="R9" i="14"/>
  <c r="R10" i="14"/>
  <c r="R11" i="14"/>
  <c r="R12" i="14"/>
  <c r="R13" i="14"/>
  <c r="R14" i="14"/>
  <c r="R15" i="14"/>
  <c r="R16" i="14"/>
  <c r="R17" i="14"/>
  <c r="R18" i="14"/>
  <c r="R19" i="14"/>
  <c r="R20" i="14"/>
  <c r="R2" i="14"/>
  <c r="Q3" i="14"/>
  <c r="Q4" i="14"/>
  <c r="Q5" i="14"/>
  <c r="Q6" i="14"/>
  <c r="Q7" i="14"/>
  <c r="Q8" i="14"/>
  <c r="Q9" i="14"/>
  <c r="Q10" i="14"/>
  <c r="Q11" i="14"/>
  <c r="Q12" i="14"/>
  <c r="Q13" i="14"/>
  <c r="Q14" i="14"/>
  <c r="Q15" i="14"/>
  <c r="Q16" i="14"/>
  <c r="Q17" i="14"/>
  <c r="Q18" i="14"/>
  <c r="Q19" i="14"/>
  <c r="Q20" i="14"/>
  <c r="Q2" i="14"/>
  <c r="W3" i="15"/>
  <c r="V3" i="15"/>
  <c r="U3" i="15"/>
  <c r="T3" i="15"/>
  <c r="S22" i="15"/>
  <c r="S23" i="15"/>
  <c r="S24" i="15"/>
  <c r="S25" i="15"/>
  <c r="S26" i="15"/>
  <c r="S27" i="15"/>
  <c r="S28" i="15"/>
  <c r="S29" i="15"/>
  <c r="S30" i="15"/>
  <c r="S31" i="15"/>
  <c r="S32" i="15"/>
  <c r="S33" i="15"/>
  <c r="S34" i="15"/>
  <c r="S35" i="15"/>
  <c r="S36" i="15"/>
  <c r="S37" i="15"/>
  <c r="S38" i="15"/>
  <c r="S21" i="15"/>
  <c r="R22" i="15"/>
  <c r="R23" i="15"/>
  <c r="R24" i="15"/>
  <c r="R25" i="15"/>
  <c r="R26" i="15"/>
  <c r="R27" i="15"/>
  <c r="R28" i="15"/>
  <c r="R29" i="15"/>
  <c r="R30" i="15"/>
  <c r="R31" i="15"/>
  <c r="R32" i="15"/>
  <c r="R33" i="15"/>
  <c r="R34" i="15"/>
  <c r="R35" i="15"/>
  <c r="R36" i="15"/>
  <c r="R37" i="15"/>
  <c r="R38" i="15"/>
  <c r="R21" i="15"/>
  <c r="Q22" i="15"/>
  <c r="Q23" i="15"/>
  <c r="Q24" i="15"/>
  <c r="Q25" i="15"/>
  <c r="Q26" i="15"/>
  <c r="Q27" i="15"/>
  <c r="Q28" i="15"/>
  <c r="Q29" i="15"/>
  <c r="Q30" i="15"/>
  <c r="Q31" i="15"/>
  <c r="Q32" i="15"/>
  <c r="Q33" i="15"/>
  <c r="Q34" i="15"/>
  <c r="Q35" i="15"/>
  <c r="Q36" i="15"/>
  <c r="Q37" i="15"/>
  <c r="Q38" i="15"/>
  <c r="Q21" i="15"/>
  <c r="Y2" i="15"/>
  <c r="X2" i="15"/>
  <c r="AA2" i="15"/>
  <c r="Z2" i="15"/>
  <c r="AA2" i="45"/>
  <c r="Z2" i="45"/>
  <c r="Y2" i="45"/>
  <c r="X2" i="45"/>
  <c r="W3" i="45"/>
  <c r="V3" i="45"/>
  <c r="U3" i="45"/>
  <c r="T3" i="45"/>
  <c r="S3" i="45"/>
  <c r="S4" i="45"/>
  <c r="S5" i="45"/>
  <c r="S6" i="45"/>
  <c r="S7" i="45"/>
  <c r="S8" i="45"/>
  <c r="S9" i="45"/>
  <c r="S10" i="45"/>
  <c r="S11" i="45"/>
  <c r="S12" i="45"/>
  <c r="S13" i="45"/>
  <c r="S14" i="45"/>
  <c r="S15" i="45"/>
  <c r="S16" i="45"/>
  <c r="S17" i="45"/>
  <c r="S18" i="45"/>
  <c r="S19" i="45"/>
  <c r="S2" i="45"/>
  <c r="R3" i="45"/>
  <c r="R4" i="45"/>
  <c r="R5" i="45"/>
  <c r="R6" i="45"/>
  <c r="R7" i="45"/>
  <c r="R8" i="45"/>
  <c r="R9" i="45"/>
  <c r="R10" i="45"/>
  <c r="R11" i="45"/>
  <c r="R12" i="45"/>
  <c r="R13" i="45"/>
  <c r="R14" i="45"/>
  <c r="R15" i="45"/>
  <c r="R16" i="45"/>
  <c r="R17" i="45"/>
  <c r="R18" i="45"/>
  <c r="R19" i="45"/>
  <c r="R2" i="45"/>
  <c r="Q3" i="45"/>
  <c r="Q4" i="45"/>
  <c r="Q5" i="45"/>
  <c r="Q6" i="45"/>
  <c r="Q7" i="45"/>
  <c r="Q8" i="45"/>
  <c r="Q9" i="45"/>
  <c r="Q10" i="45"/>
  <c r="Q11" i="45"/>
  <c r="Q12" i="45"/>
  <c r="Q13" i="45"/>
  <c r="Q14" i="45"/>
  <c r="Q15" i="45"/>
  <c r="Q16" i="45"/>
  <c r="Q17" i="45"/>
  <c r="Q18" i="45"/>
  <c r="Q19" i="45"/>
  <c r="Q2" i="45"/>
  <c r="AA2" i="41"/>
  <c r="Z2" i="41"/>
  <c r="Y2" i="41"/>
  <c r="X2" i="41"/>
  <c r="W3" i="41"/>
  <c r="V3" i="41"/>
  <c r="U3" i="41"/>
  <c r="T3" i="41"/>
  <c r="S23" i="41"/>
  <c r="S24" i="41"/>
  <c r="S25" i="41"/>
  <c r="S26" i="41"/>
  <c r="S27" i="41"/>
  <c r="S28" i="41"/>
  <c r="S29" i="41"/>
  <c r="S30" i="41"/>
  <c r="S31" i="41"/>
  <c r="S32" i="41"/>
  <c r="S33" i="41"/>
  <c r="S34" i="41"/>
  <c r="S35" i="41"/>
  <c r="S36" i="41"/>
  <c r="S37" i="41"/>
  <c r="S38" i="41"/>
  <c r="S39" i="41"/>
  <c r="S22" i="41"/>
  <c r="R23" i="41"/>
  <c r="R24" i="41"/>
  <c r="R25" i="41"/>
  <c r="R26" i="41"/>
  <c r="R27" i="41"/>
  <c r="R28" i="41"/>
  <c r="R29" i="41"/>
  <c r="R30" i="41"/>
  <c r="R31" i="41"/>
  <c r="R32" i="41"/>
  <c r="R33" i="41"/>
  <c r="R34" i="41"/>
  <c r="R35" i="41"/>
  <c r="R36" i="41"/>
  <c r="R37" i="41"/>
  <c r="R38" i="41"/>
  <c r="R39" i="41"/>
  <c r="R22" i="41"/>
  <c r="Q23" i="41"/>
  <c r="Q24" i="41"/>
  <c r="Q25" i="41"/>
  <c r="Q26" i="41"/>
  <c r="Q27" i="41"/>
  <c r="Q28" i="41"/>
  <c r="Q29" i="41"/>
  <c r="Q30" i="41"/>
  <c r="Q31" i="41"/>
  <c r="Q32" i="41"/>
  <c r="Q33" i="41"/>
  <c r="Q34" i="41"/>
  <c r="Q35" i="41"/>
  <c r="Q36" i="41"/>
  <c r="Q37" i="41"/>
  <c r="Q38" i="41"/>
  <c r="Q39" i="41"/>
  <c r="Q22" i="41"/>
  <c r="W3" i="8"/>
  <c r="V3" i="8"/>
  <c r="U3" i="8"/>
  <c r="T3" i="8"/>
  <c r="S3" i="8"/>
  <c r="S4" i="8"/>
  <c r="S5" i="8"/>
  <c r="S6" i="8"/>
  <c r="S7" i="8"/>
  <c r="S8" i="8"/>
  <c r="S9" i="8"/>
  <c r="S10" i="8"/>
  <c r="S11" i="8"/>
  <c r="S12" i="8"/>
  <c r="S13" i="8"/>
  <c r="S14" i="8"/>
  <c r="S15" i="8"/>
  <c r="S16" i="8"/>
  <c r="S17" i="8"/>
  <c r="S2" i="8"/>
  <c r="R3" i="8"/>
  <c r="R4" i="8"/>
  <c r="R5" i="8"/>
  <c r="R6" i="8"/>
  <c r="R7" i="8"/>
  <c r="R8" i="8"/>
  <c r="R9" i="8"/>
  <c r="R10" i="8"/>
  <c r="R11" i="8"/>
  <c r="R12" i="8"/>
  <c r="R13" i="8"/>
  <c r="R14" i="8"/>
  <c r="R15" i="8"/>
  <c r="R16" i="8"/>
  <c r="R17" i="8"/>
  <c r="R2" i="8"/>
  <c r="Q3" i="8"/>
  <c r="Q4" i="8"/>
  <c r="Q5" i="8"/>
  <c r="Q6" i="8"/>
  <c r="Q7" i="8"/>
  <c r="Q8" i="8"/>
  <c r="Q9" i="8"/>
  <c r="Q10" i="8"/>
  <c r="Q11" i="8"/>
  <c r="Q12" i="8"/>
  <c r="Q13" i="8"/>
  <c r="Q14" i="8"/>
  <c r="Q15" i="8"/>
  <c r="Q16" i="8"/>
  <c r="Q17" i="8"/>
  <c r="Q2" i="8"/>
  <c r="Y2" i="8"/>
  <c r="X2" i="8"/>
  <c r="AA2" i="8"/>
  <c r="Z2" i="8"/>
  <c r="H12" i="66" l="1"/>
  <c r="B4" i="46" l="1"/>
  <c r="B2" i="4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url=" http://www.wordware.com/computer/whats_new.shtml" htmlTables="1" htmlFormat="all"/>
  </connection>
  <connection id="2" xr16:uid="{00000000-0015-0000-FFFF-FFFF01000000}" name="Connection1" type="4" refreshedVersion="0" background="1">
    <webPr url=" http://www.wordware.com/computer/whats_new.shtml" htmlTables="1" htmlFormat="all"/>
  </connection>
</connections>
</file>

<file path=xl/sharedStrings.xml><?xml version="1.0" encoding="utf-8"?>
<sst xmlns="http://schemas.openxmlformats.org/spreadsheetml/2006/main" count="3529" uniqueCount="293">
  <si>
    <t>National Basketball Association</t>
  </si>
  <si>
    <t>W</t>
  </si>
  <si>
    <t>L</t>
  </si>
  <si>
    <t>PCT</t>
  </si>
  <si>
    <t>GB</t>
  </si>
  <si>
    <t>HOME</t>
  </si>
  <si>
    <t>ROAD</t>
  </si>
  <si>
    <t>DIV</t>
  </si>
  <si>
    <t>CONF</t>
  </si>
  <si>
    <t>PPG</t>
  </si>
  <si>
    <t>OPP PPG</t>
  </si>
  <si>
    <t>DIFF</t>
  </si>
  <si>
    <t>STRK</t>
  </si>
  <si>
    <t>L10</t>
  </si>
  <si>
    <r>
      <t>y -</t>
    </r>
    <r>
      <rPr>
        <sz val="9"/>
        <color rgb="FF0066CC"/>
        <rFont val="Arial"/>
        <family val="2"/>
      </rPr>
      <t>Golden State Warriors</t>
    </r>
  </si>
  <si>
    <t>-</t>
  </si>
  <si>
    <t>31-4</t>
  </si>
  <si>
    <t>29-10</t>
  </si>
  <si>
    <t>36-9</t>
  </si>
  <si>
    <t>W8</t>
  </si>
  <si>
    <r>
      <t>x -</t>
    </r>
    <r>
      <rPr>
        <sz val="9"/>
        <color rgb="FF0066CC"/>
        <rFont val="Arial"/>
        <family val="2"/>
      </rPr>
      <t>San Antonio Spurs</t>
    </r>
  </si>
  <si>
    <t>29-7</t>
  </si>
  <si>
    <t>28-9</t>
  </si>
  <si>
    <t>32-11</t>
  </si>
  <si>
    <t>W5</t>
  </si>
  <si>
    <r>
      <t>x -</t>
    </r>
    <r>
      <rPr>
        <sz val="9"/>
        <color rgb="FF0066CC"/>
        <rFont val="Arial"/>
        <family val="2"/>
      </rPr>
      <t>Houston Rockets</t>
    </r>
  </si>
  <si>
    <t>28-10</t>
  </si>
  <si>
    <t>23-13</t>
  </si>
  <si>
    <t>32-13</t>
  </si>
  <si>
    <t>L1</t>
  </si>
  <si>
    <r>
      <t>x -</t>
    </r>
    <r>
      <rPr>
        <sz val="9"/>
        <color rgb="FF0066CC"/>
        <rFont val="Arial"/>
        <family val="2"/>
      </rPr>
      <t>Boston Celtics</t>
    </r>
  </si>
  <si>
    <t>27-9</t>
  </si>
  <si>
    <t>21-17</t>
  </si>
  <si>
    <t>31-13</t>
  </si>
  <si>
    <t>W4</t>
  </si>
  <si>
    <r>
      <t>y -</t>
    </r>
    <r>
      <rPr>
        <sz val="9"/>
        <color rgb="FF0066CC"/>
        <rFont val="Arial"/>
        <family val="2"/>
      </rPr>
      <t>Cleveland Cavaliers</t>
    </r>
  </si>
  <si>
    <t>28-8</t>
  </si>
  <si>
    <t>19-18</t>
  </si>
  <si>
    <t>31-12</t>
  </si>
  <si>
    <t>L2</t>
  </si>
  <si>
    <r>
      <t>y -</t>
    </r>
    <r>
      <rPr>
        <sz val="9"/>
        <color rgb="FF0066CC"/>
        <rFont val="Arial"/>
        <family val="2"/>
      </rPr>
      <t>Washington Wizards</t>
    </r>
  </si>
  <si>
    <t>17-18</t>
  </si>
  <si>
    <t>29-18</t>
  </si>
  <si>
    <r>
      <t>x -</t>
    </r>
    <r>
      <rPr>
        <sz val="9"/>
        <color rgb="FF0066CC"/>
        <rFont val="Arial"/>
        <family val="2"/>
      </rPr>
      <t>Toronto Raptors</t>
    </r>
  </si>
  <si>
    <t>25-12</t>
  </si>
  <si>
    <t>20-17</t>
  </si>
  <si>
    <t>28-16</t>
  </si>
  <si>
    <t>W6</t>
  </si>
  <si>
    <r>
      <t>x -</t>
    </r>
    <r>
      <rPr>
        <sz val="9"/>
        <color rgb="FF0066CC"/>
        <rFont val="Arial"/>
        <family val="2"/>
      </rPr>
      <t>Utah Jazz</t>
    </r>
  </si>
  <si>
    <t>26-19</t>
  </si>
  <si>
    <t>W1</t>
  </si>
  <si>
    <r>
      <t>x -</t>
    </r>
    <r>
      <rPr>
        <sz val="9"/>
        <color rgb="FF0066CC"/>
        <rFont val="Arial"/>
        <family val="2"/>
      </rPr>
      <t>LA Clippers</t>
    </r>
  </si>
  <si>
    <t>24-12</t>
  </si>
  <si>
    <t>20-19</t>
  </si>
  <si>
    <t>25-21</t>
  </si>
  <si>
    <t>Oklahoma City Thunder</t>
  </si>
  <si>
    <t>27-10</t>
  </si>
  <si>
    <t>15-21</t>
  </si>
  <si>
    <t>26-20</t>
  </si>
  <si>
    <t>Memphis Grizzlies</t>
  </si>
  <si>
    <t>21-14</t>
  </si>
  <si>
    <t>19-20</t>
  </si>
  <si>
    <t>27-20</t>
  </si>
  <si>
    <t>L4</t>
  </si>
  <si>
    <t>Atlanta Hawks</t>
  </si>
  <si>
    <t>20-18</t>
  </si>
  <si>
    <t>18-18</t>
  </si>
  <si>
    <t>25-19</t>
  </si>
  <si>
    <t>Milwaukee Bucks</t>
  </si>
  <si>
    <t>17-19</t>
  </si>
  <si>
    <t>23-23</t>
  </si>
  <si>
    <t>Indiana Pacers</t>
  </si>
  <si>
    <t>26-12</t>
  </si>
  <si>
    <t>21-24</t>
  </si>
  <si>
    <t>Miami Heat</t>
  </si>
  <si>
    <t>21-16</t>
  </si>
  <si>
    <t>15-22</t>
  </si>
  <si>
    <t>22-23</t>
  </si>
  <si>
    <t>Portland Trail Blazers</t>
  </si>
  <si>
    <t>20-15</t>
  </si>
  <si>
    <t>16-23</t>
  </si>
  <si>
    <t>23-21</t>
  </si>
  <si>
    <t>Denver Nuggets</t>
  </si>
  <si>
    <t>21-18</t>
  </si>
  <si>
    <t>14-21</t>
  </si>
  <si>
    <t>20-26</t>
  </si>
  <si>
    <t>Chicago Bulls</t>
  </si>
  <si>
    <t>14-23</t>
  </si>
  <si>
    <t>23-22</t>
  </si>
  <si>
    <t>Detroit Pistons</t>
  </si>
  <si>
    <t>23-15</t>
  </si>
  <si>
    <t>20-27</t>
  </si>
  <si>
    <t>L5</t>
  </si>
  <si>
    <t>Charlotte Hornets</t>
  </si>
  <si>
    <t>21-25</t>
  </si>
  <si>
    <t>Dallas Mavericks</t>
  </si>
  <si>
    <t>18-26</t>
  </si>
  <si>
    <t>New Orleans Pelicans</t>
  </si>
  <si>
    <t>17-28</t>
  </si>
  <si>
    <t>Minnesota Timberwolves</t>
  </si>
  <si>
    <t>18-19</t>
  </si>
  <si>
    <t>16-27</t>
  </si>
  <si>
    <t>Sacramento Kings</t>
  </si>
  <si>
    <t>W2</t>
  </si>
  <si>
    <t>Philadelphia 76ers</t>
  </si>
  <si>
    <t>19-25</t>
  </si>
  <si>
    <t>New York Knicks</t>
  </si>
  <si>
    <t>19-26</t>
  </si>
  <si>
    <r>
      <t>e -</t>
    </r>
    <r>
      <rPr>
        <sz val="9"/>
        <color rgb="FF0066CC"/>
        <rFont val="Arial"/>
        <family val="2"/>
      </rPr>
      <t>Orlando Magic</t>
    </r>
  </si>
  <si>
    <t>13-24</t>
  </si>
  <si>
    <t>18-27</t>
  </si>
  <si>
    <r>
      <t>e -</t>
    </r>
    <r>
      <rPr>
        <sz val="9"/>
        <color rgb="FF0066CC"/>
        <rFont val="Arial"/>
        <family val="2"/>
      </rPr>
      <t>Phoenix Suns</t>
    </r>
  </si>
  <si>
    <t>13-23</t>
  </si>
  <si>
    <t>L9</t>
  </si>
  <si>
    <r>
      <t>e -</t>
    </r>
    <r>
      <rPr>
        <sz val="9"/>
        <color rgb="FF0066CC"/>
        <rFont val="Arial"/>
        <family val="2"/>
      </rPr>
      <t>Los Angeles Lakers</t>
    </r>
  </si>
  <si>
    <r>
      <t>e -</t>
    </r>
    <r>
      <rPr>
        <sz val="9"/>
        <color rgb="FF0066CC"/>
        <rFont val="Arial"/>
        <family val="2"/>
      </rPr>
      <t>Brooklyn Nets</t>
    </r>
  </si>
  <si>
    <t>ID</t>
  </si>
  <si>
    <t>Game Date</t>
  </si>
  <si>
    <t>Opponent</t>
  </si>
  <si>
    <t>First_Quarter_Score_Team</t>
  </si>
  <si>
    <t>First_Quarter_Score_Opponent</t>
  </si>
  <si>
    <t>Half_Score_Team</t>
  </si>
  <si>
    <t>Half_Score_Opponent</t>
  </si>
  <si>
    <t>Third_Quarter_Score_Team</t>
  </si>
  <si>
    <t>Third_Quarter_Score_Opponent</t>
  </si>
  <si>
    <t>Final_Score_Team</t>
  </si>
  <si>
    <t>Final_Score_Opponent</t>
  </si>
  <si>
    <t>Start Date</t>
  </si>
  <si>
    <t>End Date</t>
  </si>
  <si>
    <t>Enter Date</t>
  </si>
  <si>
    <t>Fourth_Quarter_Score_Team</t>
  </si>
  <si>
    <t>Fourth_Quarter_Score_Opponent</t>
  </si>
  <si>
    <t>Overtime_Score_Team</t>
  </si>
  <si>
    <t>Overtime_Score_Opponent</t>
  </si>
  <si>
    <t>Home_OR_Away</t>
  </si>
  <si>
    <t>Sort Data on Home / Away</t>
  </si>
  <si>
    <t>Sort Data on Game Date (Descending)</t>
  </si>
  <si>
    <t>1st Half A</t>
  </si>
  <si>
    <t>Blazers_A</t>
  </si>
  <si>
    <t>2ndHalf_Score_Team</t>
  </si>
  <si>
    <t>2ndHalf_Score_Opponent</t>
  </si>
  <si>
    <t>Go back to top by pressing CTRL+HOME. To start the tour, press CTRL+PAGE DOWN.</t>
  </si>
  <si>
    <t>PivotTables are not as hard as you think. After you walk through 
these simple steps, you'll know how to quickly create one.</t>
  </si>
  <si>
    <t>Make your first PivotTable</t>
  </si>
  <si>
    <t>Welcome
Instructions for screen readers: Make your first PivotTable. PivotTables are not as hard as you think. After you go through 21 more sheets in this tutorial, you'll learn how to quickly create one. The instructions for each sheet start in cell A1, and each subsequent step is in cell A2, A3, and so on. 
The instructions will indicate which cells to navigate to for use of a feature, or further reading.
To start, press CTRL+PAGE DOWN.</t>
  </si>
  <si>
    <t>Tickets</t>
  </si>
  <si>
    <t>Kelly</t>
  </si>
  <si>
    <t>Music</t>
  </si>
  <si>
    <t>Food</t>
  </si>
  <si>
    <t>Mom</t>
  </si>
  <si>
    <t>Grand Total</t>
  </si>
  <si>
    <t>Books</t>
  </si>
  <si>
    <t>Sports</t>
  </si>
  <si>
    <t>Dad</t>
  </si>
  <si>
    <t>Fuel</t>
  </si>
  <si>
    <t>Sum of Amount</t>
  </si>
  <si>
    <t>Buyer</t>
  </si>
  <si>
    <t>Amount</t>
  </si>
  <si>
    <t>Type</t>
  </si>
  <si>
    <t>Date</t>
  </si>
  <si>
    <t>Give feedback on this tutorial</t>
  </si>
  <si>
    <t>To continue with this tutorial, press CTRL+PAGE DOWN. To go to the previous sheet, press CTRL+PAGE UP.</t>
  </si>
  <si>
    <t>Cells H10 through I14 contain a PivotTable which summarizes the data. The PivotTable has two columns: Buyer and Sum of Amount. The Buyer column contains the values Dad, Mom, Kelly, and Grand Total; The Sum of Amount column contains the values $20, $544, $270, and $834.</t>
  </si>
  <si>
    <t>Cells B10 through E17 contain Data. There are four columns: Date, Buyer, Type, and Amount. Each column has various values for each row.</t>
  </si>
  <si>
    <t>What is a PivotTable? In its most basic form, a PivotTable takes data and summarizes it so you can make sense of it, all without typing any formulas!</t>
  </si>
  <si>
    <t>Cells G10 through K18 contain a more sophisticated PivotTable which summarizes the data. The PivotTable has five columns: Type, Dad, Kelly, Mom, and Grand Total. The Type column contains the values Books, Food, Fuel, Music, Sports, and Tickets. The Dad, Kelly, and Mom columns contain various dollar amounts, and the Grand Total column contains the total dollar amounts for each Type.</t>
  </si>
  <si>
    <t>That was a simple example. Here's a more sophisticated one. This one shows the spending amounts broken down by type of purchase and by buyer.</t>
  </si>
  <si>
    <t>Row Labels</t>
  </si>
  <si>
    <t>Column Labels</t>
  </si>
  <si>
    <t>To the right of the data is a PivotChart which summarizes and visualizes the data. To select it, press ALT+H, FD, P. Then use your arrows keys to move to PivotChartExample and press Enter. When you're done, press CTRL G, type A4, then Enter.</t>
  </si>
  <si>
    <t>There are also PivotCharts, which are a more visual way to summarize and make sense of the data. We won't be covering these, but for now, just know that they're possible to do.</t>
  </si>
  <si>
    <t>There is a label pointing to the columns that says, "Name your columns." There is also a label pointing to the rows that says, "And make sure there are no duplicate rows, or blank cells."</t>
  </si>
  <si>
    <t>Cells B10 through E17 contain Data. There are four columns: Date, Buyer, Type, and Amount. Each column has values, no duplicates, and no blanks.</t>
  </si>
  <si>
    <t xml:space="preserve">But let's back up. The first step to making a good PivotTable is to make sure the data is in good shape. So, make sure you do the following before you make one: </t>
  </si>
  <si>
    <t xml:space="preserve">GOOD TO KNOW: Why the word "field"? It's just a traditional term used when working with data and database applications. The PivotTable menus and buttons use the word "field" a lot. So if you get used to it now, it will make things easier as you make PivotTables. </t>
  </si>
  <si>
    <t>Cells B10 through E17 contain Data. There are four columns: Date, Buyer, Type, and Amount. Each column has a label pointing to it that says "Field."</t>
  </si>
  <si>
    <t>Something to keep in mind: Lots of people use the word "column." But to a PivotTable, a column is a "field." Remember this as you progress with the tutorial.</t>
  </si>
  <si>
    <t>Cells B10 through E17 contain Data. There are four columns: Date, Buyer, Type, and Amount. The Amount column has a label pointing to it that says "This field should be summed up."</t>
  </si>
  <si>
    <r>
      <t xml:space="preserve">Let's focus on one of the fields. One of the fields below, the </t>
    </r>
    <r>
      <rPr>
        <i/>
        <sz val="11"/>
        <color theme="0"/>
        <rFont val="Calibri"/>
        <family val="2"/>
        <scheme val="minor"/>
      </rPr>
      <t>Amount</t>
    </r>
    <r>
      <rPr>
        <sz val="11"/>
        <color theme="0"/>
        <rFont val="Calibri"/>
        <family val="2"/>
        <scheme val="minor"/>
      </rPr>
      <t xml:space="preserve"> field, is probably the most important. Wouldn't it be great if it was summed up?</t>
    </r>
  </si>
  <si>
    <t>Cells H10 and H11 contain a PivotTable which totals the Amount column. The PivotTable has one column: Sum of Amount. And that column only has one value: $834. There is a label pointing to the PivotTable that says, "It may not look like much, but this is a PivotTable."</t>
  </si>
  <si>
    <t xml:space="preserve">So we did that. We summed up the Amount field with a PivotTable. (Really?) Yes. Sum of Amount and $834 make up a small PivotTable that totals up the Amount field. </t>
  </si>
  <si>
    <t>Cells H11 and H12 contain a PivotTable which totals the Amount column. The PivotTable has one column: Sum of Amount. And that column only has one value: $834. There is a label pointing to the PivotTable that says, "…and this PivotTable made it into a 'value field.'"</t>
  </si>
  <si>
    <t>Cells B11 through E18 contain Data. There are four columns: Date, Buyer, Type, and Amount. Each column has various values for each row. There is a label pointing to the Amount column that says, "This field contains numeric values…"</t>
  </si>
  <si>
    <t>Why make such a small PivotTable? Because it emphasizes the concept of a PivotTable value field. If one of the fields in your data contains numeric values, a PivotTable can total it up. When it does this, it's called a PivotTable value field.</t>
  </si>
  <si>
    <t>Cells H11 through I15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"We added a condition here to divide the value field by 'Buyer.'" There is also a label that points to the Sum of Amount column that says "Value field."</t>
  </si>
  <si>
    <t>Cells B11 through E18 contain Data. There are four columns: Date, Buyer, Type, and Amount. Each column has various values for each row.</t>
  </si>
  <si>
    <t xml:space="preserve">PivotTables start getting interesting when you add conditions that divide or break down the value field. In this case, we added a new condition of Buyer to divide the value field. </t>
  </si>
  <si>
    <t>Cells H10 through I17 contain a PivotTable which summarizes the data. The PivotTable has two columns: Type and Sum of Amount. The Type column contains the values Books, Food, Fuel, Music, Sports, Tickets, and Grand Total; the Sum of Amount column contains the values $125, $470, $74, $20, $20, $125, and $834. There is a label pointing to the Type column that says, "We added a condition here to divide the value field by 'Type.'" There is also a label that points to the Sum of Amount column that says, "Value field."</t>
  </si>
  <si>
    <t>And here's another version of the PivotTable, but this time we added the condition of Type to see how much was spent for each type of purchase.</t>
  </si>
  <si>
    <t>Cells H10 through I14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"Row field." There is also a label that points to the Sum of Amount column that says "Value field."</t>
  </si>
  <si>
    <t>Another PivotTable term: The conditions we've added so far are called PivotTable row fields. In these examples, the row field breaks down, or divides, the value field.</t>
  </si>
  <si>
    <t>The PivotTable has two columns: Buyer, and Sum of Amount. The Buyer column contains the values Dad, Kelly, Mom, and Grand Total. The Sum of Amount column contains the values $20, $270, $544 and $834. There is a label pointing to the Buyer column that says, "A 'row field' breaks down..." There is also a label that points to the Sum of Amount column that says, "...a 'value field.'"</t>
  </si>
  <si>
    <t xml:space="preserve">Cells H10 through I14 contain a PivotTable which summarizes the data. </t>
  </si>
  <si>
    <t>Cells B10 through E17 contain Data. There are four columns: Date, Buyer, Type, and Amount. Each column has various values for each row. There is a label pointing to the data that says, "First start with good data."</t>
  </si>
  <si>
    <t>Let's review. You'll learn how to actually make a PivotTable in a few moments. But let's review the concepts we've taught you so far:</t>
  </si>
  <si>
    <t>There is an arrow that starts at the top of the field names and points to the same field names in a picture of the PivotTable Fields List.</t>
  </si>
  <si>
    <t>There is a label pointing to the data fields that says, "Excel looks at your data..."</t>
  </si>
  <si>
    <t>Cells C14 through F21 contain Data. There are four columns: Date, Buyer, Type, and Amount. Each column has various values for each row.</t>
  </si>
  <si>
    <t xml:space="preserve">When you create a PivotTable in a moment, you'll see the PivotTable Fields List. It's not just a list though, it's a more like a panel. At the top you'll see the fields from your data. </t>
  </si>
  <si>
    <t xml:space="preserve">BEST PRACTICE: In your own situations, if you're ever unsure how to start a PivotTable, think about creating the value field first. Fields that are best for value fields are ones with numerical amounts. In this example, Amount is the best one. The other fields (Date, Buyer, Type) don't contain numerical values, so they aren't the best ones to use for the value field.  
</t>
  </si>
  <si>
    <t>A PivotTable Fields List image shows an arrow cursor dragging the Amount field to the Values area.</t>
  </si>
  <si>
    <t>Don't do this now but in a couple steps, you'll work with a PivotTable. The first thing you'll do is create a value field. You'll do that by dragging the Amount field to the Values area.</t>
  </si>
  <si>
    <t>PivotTable Fields List image shows "Sum of Am…" highlighted in the Values area.</t>
  </si>
  <si>
    <t>Cells E12 and E13 contain a PivotTable which totals the Amount column. The PivotTable has one column: Sum of Amount. And that column only has one value: $834. There is a label pointing to the PivotTable that says, "Creating a value field sums up the 'Amount' field and makes a small PivotTable like this."</t>
  </si>
  <si>
    <t>After you drag the field to the Values area, "Sum of Am..." will appear at the bottom of the PivotTable Fields List. (Sometimes Excel doesn't have room to show the full name, which is really "Sum of Amount.")</t>
  </si>
  <si>
    <t xml:space="preserve">Cells E12 and E13 contain a PivotTable which totals the Amount column. The PivotTable has one column: Sum of Amount. And that column only has one value: $834. </t>
  </si>
  <si>
    <t>PivotTable Fields List image shows an arrow cursor dragging the Buyer field to the Rows area. The Rows area is highlighted.</t>
  </si>
  <si>
    <t xml:space="preserve">Then you'll want a condition to divide the value field by. And to do that, you drag any of the other fields down to the Rows area. </t>
  </si>
  <si>
    <t>A PivotTable Fields List image shows "Buyer" highlighted in the Rows area.</t>
  </si>
  <si>
    <t>There is a label pointing to the Row Labels column that says, "The row field 'Buyer'"; another label points to the Sum of Amount column that says, "Divides the value field 'Sum of Amount.'"</t>
  </si>
  <si>
    <t xml:space="preserve">Cells D12 and E16 contain a PivotTable. The PivotTable has two columns: Row Labels and Sum of Amount. Row Labels contains the values Dad, Kelly, Mom, and Grand Total. Sum of Amount contains the values $20, $270, $544, and $834. </t>
  </si>
  <si>
    <t>Now that the Buyer field is in the Rows area, you'll see that the PivotTable shows each buyer's amount. You'll see how easy this is in a second...and the great part about this is it doesn't require typing any formulas!</t>
  </si>
  <si>
    <t>Note: After you complete steps 3 and 4, you may have to make the columns wider to see all of the text and numbers in the PivotTable. (This is a common "extra step" you have to do after creating a PivotTable.)</t>
  </si>
  <si>
    <t>4. Press arrows keys to move to the Buyer field. Press SPACEBAR to add the Buyer field to the Rows area. Press ESC key to exit PivotTable Fields pane.</t>
  </si>
  <si>
    <t xml:space="preserve">3. Press your arrow keys to move to the Amount field. Press SPACEBAR to add the Amount field to the Values area. </t>
  </si>
  <si>
    <t>2. Press ALT+JT, L to launch the PivotTable Fields List. Focus will default to the Search text box: "Type words to search for" edit. Do not type anything, instead, tab once.</t>
  </si>
  <si>
    <t>1. In cells H14 through J31 is the PivotTable Area. Navigate to any of those cells.</t>
  </si>
  <si>
    <t>Cells B14 through E21 contain Data. There are four columns: Date, Buyer, Type, and Amount. Each column has various values for each row.</t>
  </si>
  <si>
    <t>WORK WITH THE PIVOTTABLE FIELDS LIST</t>
  </si>
  <si>
    <t>WHY DOES THIS HAPPEN? 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t>
  </si>
  <si>
    <t>If you created a PivotTable, Excel would put it on a new sheet to the left. It would name it "Sheet" and then assign a number to it like "12", "13," etc. You can always select the sheet, Alt+H, O, R, and name it something else like "PivotTable."</t>
  </si>
  <si>
    <t>There is a picture that shows a new sheet tab called "Sheet12" that is in between sheet 19 and 20.</t>
  </si>
  <si>
    <t>There is a caption under the picture that says, "For example, let's say your data is on a sheet named "20." If you created a PivotTable…"</t>
  </si>
  <si>
    <t>There is a picture that shows 4 sheet tabs named 17, 18, 19, 20, and Learn More. 20 is the active tab.</t>
  </si>
  <si>
    <t xml:space="preserve">On the next step, you'll create a PivotTable from scratch. And when you do, there's something to keep in mind: Excel puts PivotTables on a new, separate sheet to the left of the sheet you are on. </t>
  </si>
  <si>
    <t>4. Press ENTER to accept the default options.</t>
  </si>
  <si>
    <t>3. Press ALT+N,V to access the Create PivotTable dialog box.</t>
  </si>
  <si>
    <t>2. Remember that after step 4, a new sheet will be created. And when that happens, remember to use ALT+JT, L to open the PivotTable Fields List if it's not open already. Then add the Amount field to the Values area, and Buyer to the Rows area.</t>
  </si>
  <si>
    <t>1. Navigate to any of the data cells.</t>
  </si>
  <si>
    <t>Cells B15 through E22 contain Data. There are four columns: Date, Buyer, Type, and Amount. Each column has various values for each row.</t>
  </si>
  <si>
    <t>MAKE A PIVOTTABLE FROM SCRATCH</t>
  </si>
  <si>
    <t>Community: Connect with other Excel fans. They can help you, and you can help them.</t>
  </si>
  <si>
    <t>LinkedIn Learning: Video courses for all levels—from beginner to advanced. Take at your own pace.</t>
  </si>
  <si>
    <t>Clean data is key: Excel can help. Check out this article to learn more about Get &amp; Transform.</t>
  </si>
  <si>
    <t>More Pivot info: Discover more you can do by reading this helpful article on PivotTables.</t>
  </si>
  <si>
    <t>But keep going! There's more to learn…</t>
  </si>
  <si>
    <t>Good job. You made it.</t>
  </si>
  <si>
    <t>Final</t>
  </si>
  <si>
    <t>T</t>
  </si>
  <si>
    <t>76ers</t>
  </si>
  <si>
    <t>Celtics</t>
  </si>
  <si>
    <t>Thunder</t>
  </si>
  <si>
    <t>Warriors</t>
  </si>
  <si>
    <t>Away</t>
  </si>
  <si>
    <t>Home</t>
  </si>
  <si>
    <t>Bucks</t>
  </si>
  <si>
    <t>Hornets</t>
  </si>
  <si>
    <t>Nets</t>
  </si>
  <si>
    <t>Pistons</t>
  </si>
  <si>
    <t>Grizzlies</t>
  </si>
  <si>
    <t>Pacers</t>
  </si>
  <si>
    <t>Heat</t>
  </si>
  <si>
    <t>Magic</t>
  </si>
  <si>
    <t>Hawks</t>
  </si>
  <si>
    <t>Knicks</t>
  </si>
  <si>
    <t>Cavaliers</t>
  </si>
  <si>
    <t>Raptors</t>
  </si>
  <si>
    <t>Pelicans</t>
  </si>
  <si>
    <t>Rockets</t>
  </si>
  <si>
    <t>Timberwolves</t>
  </si>
  <si>
    <t>Spurs</t>
  </si>
  <si>
    <t>Jazz</t>
  </si>
  <si>
    <t>Kings</t>
  </si>
  <si>
    <t>Nuggets</t>
  </si>
  <si>
    <t>Clippers</t>
  </si>
  <si>
    <t>Mavericks</t>
  </si>
  <si>
    <t>Suns</t>
  </si>
  <si>
    <t>Bulls</t>
  </si>
  <si>
    <t>Wizards</t>
  </si>
  <si>
    <t>Lakers</t>
  </si>
  <si>
    <t>Trail Blazers</t>
  </si>
  <si>
    <t>Final/OT</t>
  </si>
  <si>
    <t>OT</t>
  </si>
  <si>
    <t>1st Half_Marginal_Difference</t>
  </si>
  <si>
    <t>2nd Half_Score_Team</t>
  </si>
  <si>
    <t>If Winning_At_Half</t>
  </si>
  <si>
    <t>2nd Half_Score_Opponent</t>
  </si>
  <si>
    <t>If Losing_At_Half</t>
  </si>
  <si>
    <t>Avg Final_Score_Team</t>
  </si>
  <si>
    <t>Avg Final_Score_Opponent</t>
  </si>
  <si>
    <t>Avg 1st Half_Score_Team</t>
  </si>
  <si>
    <t>Avg 1st Half_Score_Opponent</t>
  </si>
  <si>
    <t>(28-12, 13-8 away)</t>
  </si>
  <si>
    <t>(22-17, 16-5 Home)</t>
  </si>
  <si>
    <t>(25-11, 10-8 away)</t>
  </si>
  <si>
    <t>(19-19, 10-9 Home)</t>
  </si>
  <si>
    <t>(22-15, 9-10 away)</t>
  </si>
  <si>
    <t>(25-14, 15-6 Home)</t>
  </si>
  <si>
    <t>Scores for 1/3/2019</t>
  </si>
  <si>
    <t>Avg !st Half_Score_Team</t>
  </si>
  <si>
    <t>Avg !st Half_Score_Opponent</t>
  </si>
  <si>
    <t>If losing_At_Half</t>
  </si>
  <si>
    <t>If Winning _At_Half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</si>
</sst>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5" formatCode="&quot;$&quot;#,##0_);\(&quot;$&quot;#,##0\)"/>
    <numFmt numFmtId="44" formatCode="_(&quot;$&quot;* #,##0.00_);_(&quot;$&quot;* \(#,##0.00\);_(&quot;$&quot;* &quot;-&quot;??_);_(@_)"/>
    <numFmt numFmtId="164" formatCode="&quot;$&quot;#,##0"/>
    <numFmt numFmtId="165" formatCode="dd\-mmm"/>
  </numFmts>
  <fonts count="24">
    <font>
      <sz val="11"/>
      <color theme="1"/>
      <name val="Calibri"/>
      <family val="2"/>
      <scheme val="minor"/>
    </font>
    <font>
      <sz val="12"/>
      <color rgb="FF2B2C2D"/>
      <name val="Inherit"/>
    </font>
    <font>
      <sz val="8"/>
      <color rgb="FF48494A"/>
      <name val="Inherit"/>
    </font>
    <font>
      <sz val="9"/>
      <color rgb="FF6C6D6F"/>
      <name val="Arial"/>
      <family val="2"/>
    </font>
    <font>
      <sz val="9"/>
      <color rgb="FF48494A"/>
      <name val="Arial"/>
      <family val="2"/>
    </font>
    <font>
      <sz val="9"/>
      <color rgb="FF0066CC"/>
      <name val="Arial"/>
      <family val="2"/>
    </font>
    <font>
      <sz val="9"/>
      <color rgb="FF009944"/>
      <name val="Arial"/>
      <family val="2"/>
    </font>
    <font>
      <sz val="9"/>
      <color rgb="FFDD0000"/>
      <name val="Arial"/>
      <family val="2"/>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font>
    <font>
      <sz val="17"/>
      <color theme="0"/>
      <name val="Calibri"/>
      <family val="2"/>
      <scheme val="minor"/>
    </font>
    <font>
      <sz val="11"/>
      <color rgb="FF0B744D"/>
      <name val="Calibri"/>
      <family val="2"/>
      <scheme val="minor"/>
    </font>
    <font>
      <sz val="42"/>
      <color theme="0"/>
      <name val="Segoe UI"/>
      <family val="2"/>
    </font>
    <font>
      <sz val="11"/>
      <name val="Calibri"/>
      <family val="2"/>
      <scheme val="minor"/>
    </font>
    <font>
      <i/>
      <sz val="11"/>
      <color theme="0"/>
      <name val="Calibri"/>
      <family val="2"/>
      <scheme val="minor"/>
    </font>
    <font>
      <sz val="11"/>
      <color theme="1"/>
      <name val="Calibri"/>
      <scheme val="minor"/>
    </font>
    <font>
      <b/>
      <i/>
      <sz val="14"/>
      <color rgb="FF0070C0"/>
      <name val="Calibri"/>
      <family val="2"/>
    </font>
    <font>
      <b/>
      <i/>
      <sz val="11"/>
      <color rgb="FF7030A0"/>
      <name val="Calibri"/>
      <family val="2"/>
    </font>
    <font>
      <sz val="24"/>
      <color theme="1"/>
      <name val="Segoe UI"/>
      <family val="2"/>
    </font>
    <font>
      <sz val="12"/>
      <color theme="1"/>
      <name val="Segoe UI"/>
      <family val="2"/>
    </font>
    <font>
      <sz val="11"/>
      <color rgb="FF000000"/>
      <name val="Calibri"/>
      <family val="2"/>
    </font>
  </fonts>
  <fills count="9">
    <fill>
      <patternFill patternType="none"/>
    </fill>
    <fill>
      <patternFill patternType="gray125"/>
    </fill>
    <fill>
      <patternFill patternType="solid">
        <fgColor theme="5" tint="0.39997558519241921"/>
        <bgColor indexed="64"/>
      </patternFill>
    </fill>
    <fill>
      <patternFill patternType="solid">
        <fgColor theme="7" tint="0.59999389629810485"/>
        <bgColor indexed="65"/>
      </patternFill>
    </fill>
    <fill>
      <patternFill patternType="solid">
        <fgColor theme="9"/>
      </patternFill>
    </fill>
    <fill>
      <patternFill patternType="solid">
        <fgColor theme="9" tint="0.79998168889431442"/>
        <bgColor indexed="65"/>
      </patternFill>
    </fill>
    <fill>
      <patternFill patternType="solid">
        <fgColor rgb="FF217346"/>
        <bgColor indexed="64"/>
      </patternFill>
    </fill>
    <fill>
      <patternFill patternType="solid">
        <fgColor theme="9" tint="0.79998168889431442"/>
        <bgColor theme="9" tint="0.79998168889431442"/>
      </patternFill>
    </fill>
    <fill>
      <patternFill patternType="solid">
        <fgColor theme="9"/>
        <bgColor theme="9"/>
      </patternFill>
    </fill>
  </fills>
  <borders count="18">
    <border>
      <left/>
      <right/>
      <top/>
      <bottom/>
      <diagonal/>
    </border>
    <border>
      <left/>
      <right style="medium">
        <color rgb="FFDCDDDF"/>
      </right>
      <top style="medium">
        <color rgb="FFF1F2F3"/>
      </top>
      <bottom/>
      <diagonal/>
    </border>
    <border>
      <left/>
      <right/>
      <top style="medium">
        <color rgb="FFF1F2F3"/>
      </top>
      <bottom/>
      <diagonal/>
    </border>
    <border>
      <left/>
      <right style="medium">
        <color rgb="FFDCDDDF"/>
      </right>
      <top style="medium">
        <color rgb="FFDCDDDF"/>
      </top>
      <bottom style="medium">
        <color rgb="FFDCDDDF"/>
      </bottom>
      <diagonal/>
    </border>
    <border>
      <left/>
      <right/>
      <top style="medium">
        <color rgb="FFDCDDDF"/>
      </top>
      <bottom style="medium">
        <color rgb="FFDCDDDF"/>
      </bottom>
      <diagonal/>
    </border>
    <border>
      <left/>
      <right/>
      <top style="thin">
        <color theme="9" tint="0.39997558519241921"/>
      </top>
      <bottom/>
      <diagonal/>
    </border>
    <border>
      <left style="thin">
        <color indexed="65"/>
      </left>
      <right style="thin">
        <color rgb="FF999999"/>
      </right>
      <top style="thin">
        <color indexed="65"/>
      </top>
      <bottom style="thin">
        <color rgb="FF999999"/>
      </bottom>
      <diagonal/>
    </border>
    <border>
      <left style="thin">
        <color indexed="65"/>
      </left>
      <right/>
      <top style="thin">
        <color indexed="65"/>
      </top>
      <bottom style="thin">
        <color rgb="FF999999"/>
      </bottom>
      <diagonal/>
    </border>
    <border>
      <left style="thin">
        <color rgb="FF999999"/>
      </left>
      <right/>
      <top style="thin">
        <color indexed="65"/>
      </top>
      <bottom style="thin">
        <color rgb="FF999999"/>
      </bottom>
      <diagonal/>
    </border>
    <border>
      <left style="thin">
        <color indexed="65"/>
      </left>
      <right style="thin">
        <color rgb="FF999999"/>
      </right>
      <top style="thin">
        <color indexed="65"/>
      </top>
      <bottom/>
      <diagonal/>
    </border>
    <border>
      <left style="thin">
        <color indexed="65"/>
      </left>
      <right/>
      <top style="thin">
        <color indexed="65"/>
      </top>
      <bottom/>
      <diagonal/>
    </border>
    <border>
      <left style="thin">
        <color rgb="FF999999"/>
      </left>
      <right/>
      <top style="thin">
        <color indexed="65"/>
      </top>
      <bottom/>
      <diagonal/>
    </border>
    <border>
      <left style="thin">
        <color indexed="65"/>
      </left>
      <right style="thin">
        <color rgb="FF999999"/>
      </right>
      <top style="thin">
        <color rgb="FF999999"/>
      </top>
      <bottom/>
      <diagonal/>
    </border>
    <border>
      <left style="thin">
        <color indexed="65"/>
      </left>
      <right/>
      <top style="thin">
        <color rgb="FF999999"/>
      </top>
      <bottom/>
      <diagonal/>
    </border>
    <border>
      <left style="thin">
        <color rgb="FF999999"/>
      </left>
      <right/>
      <top style="thin">
        <color rgb="FF999999"/>
      </top>
      <bottom/>
      <diagonal/>
    </border>
    <border>
      <left/>
      <right style="thin">
        <color theme="9" tint="0.39991454817346722"/>
      </right>
      <top/>
      <bottom style="thin">
        <color theme="9" tint="0.39991454817346722"/>
      </bottom>
      <diagonal/>
    </border>
    <border>
      <left/>
      <right/>
      <top style="thin">
        <color theme="9" tint="0.39994506668294322"/>
      </top>
      <bottom style="thin">
        <color theme="9" tint="0.39994506668294322"/>
      </bottom>
      <diagonal/>
    </border>
    <border>
      <left style="thin">
        <color theme="9" tint="0.39994506668294322"/>
      </left>
      <right/>
      <top/>
      <bottom style="thin">
        <color theme="9" tint="0.39991454817346722"/>
      </bottom>
      <diagonal/>
    </border>
  </borders>
  <cellStyleXfs count="14">
    <xf numFmtId="0" fontId="0" fillId="0" borderId="0"/>
    <xf numFmtId="0" fontId="8" fillId="0" borderId="0" applyNumberFormat="0" applyFill="0" applyBorder="0" applyAlignment="0" applyProtection="0"/>
    <xf numFmtId="0" fontId="12" fillId="0" borderId="0"/>
    <xf numFmtId="0" fontId="13" fillId="6" borderId="0" applyNumberFormat="0" applyProtection="0">
      <alignment horizontal="left" wrapText="1" indent="4"/>
    </xf>
    <xf numFmtId="0" fontId="14" fillId="6" borderId="0" applyNumberFormat="0" applyProtection="0">
      <alignment horizontal="left" wrapText="1" indent="4"/>
    </xf>
    <xf numFmtId="0" fontId="15" fillId="6" borderId="0" applyNumberFormat="0" applyBorder="0" applyProtection="0">
      <alignment horizontal="left" indent="1"/>
    </xf>
    <xf numFmtId="0" fontId="14" fillId="0" borderId="0" applyFill="0" applyBorder="0">
      <alignment wrapText="1"/>
    </xf>
    <xf numFmtId="0" fontId="11" fillId="0" borderId="0"/>
    <xf numFmtId="5" fontId="12" fillId="0" borderId="0" applyFont="0" applyFill="0" applyBorder="0" applyAlignment="0" applyProtection="0"/>
    <xf numFmtId="165" fontId="16" fillId="0" borderId="0" applyFont="0" applyFill="0" applyBorder="0" applyAlignment="0">
      <alignment horizontal="left"/>
    </xf>
    <xf numFmtId="0" fontId="9" fillId="5" borderId="16" applyNumberFormat="0" applyAlignment="0" applyProtection="0"/>
    <xf numFmtId="0" fontId="12" fillId="7" borderId="15" applyNumberFormat="0" applyFont="0" applyFill="0" applyAlignment="0"/>
    <xf numFmtId="0" fontId="10" fillId="4" borderId="0" applyNumberFormat="0" applyBorder="0" applyAlignment="0" applyProtection="0"/>
    <xf numFmtId="0" fontId="12" fillId="7" borderId="17" applyNumberFormat="0" applyFont="0" applyFill="0" applyAlignment="0"/>
  </cellStyleXfs>
  <cellXfs count="69">
    <xf numFmtId="0" fontId="0" fillId="0" borderId="0" xfId="0"/>
    <xf numFmtId="0" fontId="1" fillId="0" borderId="0" xfId="0" applyFont="1" applyAlignment="1">
      <alignment horizontal="left" vertical="center" wrapText="1"/>
    </xf>
    <xf numFmtId="0" fontId="4" fillId="0" borderId="1" xfId="0" applyFont="1" applyBorder="1" applyAlignment="1">
      <alignment horizontal="left" vertical="center"/>
    </xf>
    <xf numFmtId="0" fontId="3" fillId="0" borderId="2" xfId="0" applyFont="1" applyBorder="1" applyAlignment="1">
      <alignment horizontal="right" vertical="center"/>
    </xf>
    <xf numFmtId="0" fontId="3" fillId="0" borderId="1" xfId="0" applyFont="1" applyBorder="1" applyAlignment="1">
      <alignment horizontal="right" vertical="center"/>
    </xf>
    <xf numFmtId="16" fontId="3" fillId="0" borderId="2" xfId="0" applyNumberFormat="1" applyFont="1" applyBorder="1" applyAlignment="1">
      <alignment horizontal="right" vertical="center"/>
    </xf>
    <xf numFmtId="0" fontId="6" fillId="0" borderId="1" xfId="0" applyFont="1" applyBorder="1" applyAlignment="1">
      <alignment horizontal="right" vertical="center"/>
    </xf>
    <xf numFmtId="0" fontId="5" fillId="0" borderId="1" xfId="0" applyFont="1" applyBorder="1" applyAlignment="1">
      <alignment horizontal="left" vertical="center"/>
    </xf>
    <xf numFmtId="0" fontId="7" fillId="0" borderId="1" xfId="0" applyFont="1" applyBorder="1" applyAlignment="1">
      <alignment horizontal="right" vertical="center"/>
    </xf>
    <xf numFmtId="17" fontId="3" fillId="0" borderId="1" xfId="0" applyNumberFormat="1" applyFont="1" applyBorder="1" applyAlignment="1">
      <alignment horizontal="right" vertical="center"/>
    </xf>
    <xf numFmtId="0" fontId="2" fillId="0" borderId="3" xfId="0" applyFont="1" applyBorder="1" applyAlignment="1">
      <alignment horizontal="left" vertical="center"/>
    </xf>
    <xf numFmtId="0" fontId="8" fillId="0" borderId="4" xfId="1" applyBorder="1" applyAlignment="1">
      <alignment horizontal="right" vertical="center"/>
    </xf>
    <xf numFmtId="0" fontId="8" fillId="0" borderId="3" xfId="1" applyBorder="1" applyAlignment="1">
      <alignment horizontal="right" vertical="center"/>
    </xf>
    <xf numFmtId="0" fontId="2" fillId="0" borderId="4" xfId="0" applyFont="1" applyBorder="1" applyAlignment="1">
      <alignment horizontal="right" vertical="center"/>
    </xf>
    <xf numFmtId="0" fontId="2" fillId="0" borderId="3" xfId="0" applyFont="1" applyBorder="1" applyAlignment="1">
      <alignment horizontal="right" vertical="center"/>
    </xf>
    <xf numFmtId="0" fontId="0" fillId="2" borderId="0" xfId="0" applyFill="1"/>
    <xf numFmtId="0" fontId="0" fillId="2" borderId="0" xfId="0" applyNumberFormat="1" applyFill="1"/>
    <xf numFmtId="0" fontId="9" fillId="0" borderId="0" xfId="2" applyFont="1"/>
    <xf numFmtId="0" fontId="13" fillId="6" borderId="0" xfId="3" applyFont="1">
      <alignment horizontal="left" wrapText="1" indent="4"/>
    </xf>
    <xf numFmtId="0" fontId="14" fillId="6" borderId="0" xfId="4" applyFont="1">
      <alignment horizontal="left" wrapText="1" indent="4"/>
    </xf>
    <xf numFmtId="0" fontId="15" fillId="6" borderId="0" xfId="5" applyFont="1">
      <alignment horizontal="left" indent="1"/>
    </xf>
    <xf numFmtId="0" fontId="14" fillId="6" borderId="0" xfId="6" applyFont="1" applyFill="1">
      <alignment wrapText="1"/>
    </xf>
    <xf numFmtId="0" fontId="11" fillId="0" borderId="0" xfId="7"/>
    <xf numFmtId="5" fontId="0" fillId="7" borderId="5" xfId="8" applyFont="1" applyFill="1" applyBorder="1"/>
    <xf numFmtId="0" fontId="9" fillId="7" borderId="5" xfId="2" applyFont="1" applyFill="1" applyBorder="1"/>
    <xf numFmtId="165" fontId="9" fillId="7" borderId="5" xfId="9" applyFont="1" applyFill="1" applyBorder="1" applyAlignment="1">
      <alignment horizontal="left"/>
    </xf>
    <xf numFmtId="5" fontId="0" fillId="0" borderId="5" xfId="8" applyFont="1" applyBorder="1"/>
    <xf numFmtId="0" fontId="9" fillId="0" borderId="5" xfId="2" applyFont="1" applyBorder="1"/>
    <xf numFmtId="165" fontId="9" fillId="0" borderId="5" xfId="9" applyFont="1" applyBorder="1" applyAlignment="1">
      <alignment horizontal="left"/>
    </xf>
    <xf numFmtId="5" fontId="12" fillId="0" borderId="0" xfId="2" applyNumberFormat="1"/>
    <xf numFmtId="0" fontId="12" fillId="0" borderId="0" xfId="2"/>
    <xf numFmtId="0" fontId="12" fillId="0" borderId="0" xfId="2" pivotButton="1"/>
    <xf numFmtId="0" fontId="10" fillId="8" borderId="0" xfId="2" applyFont="1" applyFill="1" applyBorder="1"/>
    <xf numFmtId="0" fontId="12" fillId="0" borderId="0" xfId="2" applyAlignment="1">
      <alignment horizontal="left"/>
    </xf>
    <xf numFmtId="5" fontId="12" fillId="7" borderId="5" xfId="2" applyNumberFormat="1" applyFont="1" applyFill="1" applyBorder="1"/>
    <xf numFmtId="165" fontId="9" fillId="7" borderId="5" xfId="2" applyNumberFormat="1" applyFont="1" applyFill="1" applyBorder="1" applyAlignment="1">
      <alignment horizontal="left"/>
    </xf>
    <xf numFmtId="5" fontId="12" fillId="0" borderId="5" xfId="2" applyNumberFormat="1" applyFont="1" applyBorder="1"/>
    <xf numFmtId="165" fontId="9" fillId="0" borderId="5" xfId="2" applyNumberFormat="1" applyFont="1" applyBorder="1" applyAlignment="1">
      <alignment horizontal="left"/>
    </xf>
    <xf numFmtId="164" fontId="12" fillId="0" borderId="0" xfId="2" applyNumberFormat="1"/>
    <xf numFmtId="0" fontId="18" fillId="3" borderId="0" xfId="2" applyNumberFormat="1" applyFont="1" applyFill="1" applyAlignment="1" applyProtection="1"/>
    <xf numFmtId="0" fontId="18" fillId="3" borderId="0" xfId="2" applyFont="1" applyFill="1"/>
    <xf numFmtId="0" fontId="11" fillId="0" borderId="0" xfId="7" applyAlignment="1">
      <alignment wrapText="1"/>
    </xf>
    <xf numFmtId="16" fontId="12" fillId="0" borderId="0" xfId="2" applyNumberFormat="1"/>
    <xf numFmtId="0" fontId="12" fillId="0" borderId="0" xfId="2" applyFont="1"/>
    <xf numFmtId="5" fontId="12" fillId="0" borderId="6" xfId="2" applyNumberFormat="1" applyBorder="1"/>
    <xf numFmtId="5" fontId="12" fillId="0" borderId="7" xfId="2" applyNumberFormat="1" applyBorder="1"/>
    <xf numFmtId="5" fontId="12" fillId="0" borderId="8" xfId="2" applyNumberFormat="1" applyBorder="1"/>
    <xf numFmtId="5" fontId="12" fillId="0" borderId="9" xfId="2" applyNumberFormat="1" applyBorder="1"/>
    <xf numFmtId="5" fontId="12" fillId="0" borderId="10" xfId="2" applyNumberFormat="1" applyBorder="1"/>
    <xf numFmtId="5" fontId="12" fillId="0" borderId="11" xfId="2" applyNumberFormat="1" applyBorder="1"/>
    <xf numFmtId="0" fontId="12" fillId="0" borderId="12" xfId="2" applyBorder="1"/>
    <xf numFmtId="0" fontId="12" fillId="0" borderId="13" xfId="2" applyBorder="1"/>
    <xf numFmtId="0" fontId="12" fillId="0" borderId="14" xfId="2" applyBorder="1"/>
    <xf numFmtId="0" fontId="19" fillId="0" borderId="0" xfId="2" applyFont="1"/>
    <xf numFmtId="0" fontId="20" fillId="0" borderId="0" xfId="2" applyFont="1"/>
    <xf numFmtId="5" fontId="9" fillId="5" borderId="15" xfId="8" applyFont="1" applyFill="1" applyBorder="1"/>
    <xf numFmtId="0" fontId="9" fillId="5" borderId="16" xfId="10"/>
    <xf numFmtId="165" fontId="9" fillId="5" borderId="17" xfId="9" applyFont="1" applyFill="1" applyBorder="1" applyAlignment="1">
      <alignment horizontal="left"/>
    </xf>
    <xf numFmtId="5" fontId="0" fillId="0" borderId="15" xfId="8" applyFont="1" applyFill="1" applyBorder="1"/>
    <xf numFmtId="0" fontId="12" fillId="0" borderId="5" xfId="2" applyFont="1" applyBorder="1"/>
    <xf numFmtId="165" fontId="0" fillId="0" borderId="17" xfId="9" applyFont="1" applyFill="1" applyBorder="1" applyAlignment="1">
      <alignment horizontal="left"/>
    </xf>
    <xf numFmtId="0" fontId="10" fillId="4" borderId="15" xfId="11" applyFont="1" applyFill="1"/>
    <xf numFmtId="0" fontId="10" fillId="4" borderId="5" xfId="12" applyBorder="1"/>
    <xf numFmtId="0" fontId="10" fillId="4" borderId="17" xfId="13" applyFont="1" applyFill="1"/>
    <xf numFmtId="0" fontId="21" fillId="0" borderId="0" xfId="2" applyFont="1" applyAlignment="1">
      <alignment vertical="center"/>
    </xf>
    <xf numFmtId="0" fontId="21" fillId="0" borderId="0" xfId="2" applyFont="1"/>
    <xf numFmtId="0" fontId="22" fillId="0" borderId="0" xfId="2" applyFont="1"/>
    <xf numFmtId="0" fontId="0" fillId="0" borderId="0" xfId="0" applyAlignment="1">
      <alignment horizontal="center"/>
    </xf>
    <xf numFmtId="14" fontId="0" fillId="0" borderId="0" xfId="0" applyNumberFormat="1"/>
  </cellXfs>
  <cellStyles count="14">
    <cellStyle name="20% - Accent6 2" xfId="10" xr:uid="{03689275-CC6B-43EB-BB6C-3F4FD49561A6}"/>
    <cellStyle name="Accent6 2" xfId="12" xr:uid="{5B637E8A-AE93-48DE-9CE1-3D458A5403CE}"/>
    <cellStyle name="Currency 2" xfId="8" xr:uid="{1017E0A4-83C4-47BE-9591-AB0E5A2463E4}"/>
    <cellStyle name="Date" xfId="9" xr:uid="{E3BD3505-856D-4A92-A47D-2801A4E9F944}"/>
    <cellStyle name="Heading 1 2" xfId="3" xr:uid="{12EBB6ED-58A7-4F50-A83F-EA0F8FE28746}"/>
    <cellStyle name="Heading 2 2" xfId="4" xr:uid="{CF0E9BF3-4BE1-4CE1-95F1-C0E65322AFC2}"/>
    <cellStyle name="Hyperlink" xfId="1" builtinId="8"/>
    <cellStyle name="Left table border" xfId="13" xr:uid="{2BAB5A77-94AA-49C2-B024-D45D14D9B2BA}"/>
    <cellStyle name="Normal" xfId="0" builtinId="0"/>
    <cellStyle name="Normal 2" xfId="2" xr:uid="{5DF50C6E-9DCC-44C3-86CD-2B582DBF719F}"/>
    <cellStyle name="Right table border" xfId="11" xr:uid="{54C62CE3-DF8A-4BEA-9C23-5D736CB15765}"/>
    <cellStyle name="Start Text" xfId="6" xr:uid="{70DD0BEF-F314-406B-9427-72349DE788B2}"/>
    <cellStyle name="Title 2" xfId="5" xr:uid="{4FE597D1-0332-451D-920D-C184CA279607}"/>
    <cellStyle name="z A Column text" xfId="7" xr:uid="{8F25B523-D032-4247-80AC-2E10F27B0C56}"/>
  </cellStyles>
  <dxfs count="126">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4" formatCode="&quot;$&quot;#,##0"/>
    </dxf>
    <dxf>
      <numFmt numFmtId="9" formatCode="&quot;$&quot;#,##0_);\(&quot;$&quot;#,##0\)"/>
    </dxf>
    <dxf>
      <numFmt numFmtId="9" formatCode="&quot;$&quot;#,##0_);\(&quot;$&quot;#,##0\)"/>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4"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numFmt numFmtId="164"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4"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4"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164"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5"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4"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4" formatCode="&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pivotCacheDefinition" Target="pivotCache/pivotCacheDefinition5.xml"/><Relationship Id="rId68" Type="http://schemas.openxmlformats.org/officeDocument/2006/relationships/pivotCacheDefinition" Target="pivotCache/pivotCacheDefinition10.xml"/><Relationship Id="rId7" Type="http://schemas.openxmlformats.org/officeDocument/2006/relationships/worksheet" Target="worksheets/sheet7.xml"/><Relationship Id="rId71"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pivotCacheDefinition" Target="pivotCache/pivotCacheDefinition8.xml"/><Relationship Id="rId7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2.xml"/><Relationship Id="rId65" Type="http://schemas.openxmlformats.org/officeDocument/2006/relationships/pivotCacheDefinition" Target="pivotCache/pivotCacheDefinition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ivotCacheDefinition" Target="pivotCache/pivotCacheDefinition6.xml"/><Relationship Id="rId69" Type="http://schemas.openxmlformats.org/officeDocument/2006/relationships/pivotCacheDefinition" Target="pivotCache/pivotCacheDefinition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1.xml"/><Relationship Id="rId67" Type="http://schemas.openxmlformats.org/officeDocument/2006/relationships/pivotCacheDefinition" Target="pivotCache/pivotCacheDefinition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4.xml"/><Relationship Id="rId70" Type="http://schemas.openxmlformats.org/officeDocument/2006/relationships/theme" Target="theme/theme1.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Heat</c:v>
          </c:tx>
          <c:spPr>
            <a:ln w="19050" cap="rnd">
              <a:solidFill>
                <a:schemeClr val="accent1"/>
              </a:solidFill>
              <a:round/>
            </a:ln>
            <a:effectLst/>
          </c:spPr>
          <c:marker>
            <c:symbol val="none"/>
          </c:marker>
          <c:xVal>
            <c:numRef>
              <c:f>Heat!$A$9:$A$15</c:f>
              <c:numCache>
                <c:formatCode>General</c:formatCode>
                <c:ptCount val="7"/>
                <c:pt idx="0">
                  <c:v>18</c:v>
                </c:pt>
                <c:pt idx="1">
                  <c:v>19</c:v>
                </c:pt>
                <c:pt idx="2">
                  <c:v>24</c:v>
                </c:pt>
                <c:pt idx="3">
                  <c:v>25</c:v>
                </c:pt>
                <c:pt idx="4">
                  <c:v>26</c:v>
                </c:pt>
                <c:pt idx="5">
                  <c:v>27</c:v>
                </c:pt>
                <c:pt idx="6">
                  <c:v>28</c:v>
                </c:pt>
              </c:numCache>
            </c:numRef>
          </c:xVal>
          <c:yVal>
            <c:numRef>
              <c:f>Heat!$G$9:$G$15</c:f>
              <c:numCache>
                <c:formatCode>General</c:formatCode>
                <c:ptCount val="7"/>
                <c:pt idx="0">
                  <c:v>60</c:v>
                </c:pt>
                <c:pt idx="1">
                  <c:v>54</c:v>
                </c:pt>
                <c:pt idx="2">
                  <c:v>60</c:v>
                </c:pt>
                <c:pt idx="3">
                  <c:v>65</c:v>
                </c:pt>
                <c:pt idx="4">
                  <c:v>58</c:v>
                </c:pt>
                <c:pt idx="5">
                  <c:v>33</c:v>
                </c:pt>
                <c:pt idx="6">
                  <c:v>51</c:v>
                </c:pt>
              </c:numCache>
            </c:numRef>
          </c:yVal>
          <c:smooth val="0"/>
          <c:extLst>
            <c:ext xmlns:c16="http://schemas.microsoft.com/office/drawing/2014/chart" uri="{C3380CC4-5D6E-409C-BE32-E72D297353CC}">
              <c16:uniqueId val="{00000002-F4FC-416D-84AE-065866FC1537}"/>
            </c:ext>
          </c:extLst>
        </c:ser>
        <c:dLbls>
          <c:showLegendKey val="0"/>
          <c:showVal val="0"/>
          <c:showCatName val="0"/>
          <c:showSerName val="0"/>
          <c:showPercent val="0"/>
          <c:showBubbleSize val="0"/>
        </c:dLbls>
        <c:axId val="450879328"/>
        <c:axId val="450879720"/>
      </c:scatterChart>
      <c:valAx>
        <c:axId val="450879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879720"/>
        <c:crosses val="autoZero"/>
        <c:crossBetween val="midCat"/>
      </c:valAx>
      <c:valAx>
        <c:axId val="450879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8793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Blazers_Away</c:v>
          </c:tx>
          <c:spPr>
            <a:ln w="19050" cap="rnd">
              <a:solidFill>
                <a:schemeClr val="accent1"/>
              </a:solidFill>
              <a:round/>
            </a:ln>
            <a:effectLst/>
          </c:spPr>
          <c:marker>
            <c:symbol val="none"/>
          </c:marker>
          <c:xVal>
            <c:numRef>
              <c:f>'Trail Blazers'!$A$2:$A$7</c:f>
              <c:numCache>
                <c:formatCode>General</c:formatCode>
                <c:ptCount val="6"/>
                <c:pt idx="0">
                  <c:v>4</c:v>
                </c:pt>
                <c:pt idx="1">
                  <c:v>5</c:v>
                </c:pt>
                <c:pt idx="2">
                  <c:v>6</c:v>
                </c:pt>
                <c:pt idx="3">
                  <c:v>7</c:v>
                </c:pt>
                <c:pt idx="4">
                  <c:v>14</c:v>
                </c:pt>
                <c:pt idx="5">
                  <c:v>15</c:v>
                </c:pt>
              </c:numCache>
            </c:numRef>
          </c:xVal>
          <c:yVal>
            <c:numRef>
              <c:f>'Trail Blazers'!$G$2:$G$7</c:f>
              <c:numCache>
                <c:formatCode>General</c:formatCode>
                <c:ptCount val="6"/>
                <c:pt idx="0">
                  <c:v>58</c:v>
                </c:pt>
                <c:pt idx="1">
                  <c:v>42</c:v>
                </c:pt>
                <c:pt idx="2">
                  <c:v>45</c:v>
                </c:pt>
                <c:pt idx="3">
                  <c:v>51</c:v>
                </c:pt>
                <c:pt idx="4">
                  <c:v>55</c:v>
                </c:pt>
                <c:pt idx="5">
                  <c:v>43</c:v>
                </c:pt>
              </c:numCache>
            </c:numRef>
          </c:yVal>
          <c:smooth val="0"/>
          <c:extLst>
            <c:ext xmlns:c16="http://schemas.microsoft.com/office/drawing/2014/chart" uri="{C3380CC4-5D6E-409C-BE32-E72D297353CC}">
              <c16:uniqueId val="{00000000-EA57-4BFC-A84F-007F77ABAF54}"/>
            </c:ext>
          </c:extLst>
        </c:ser>
        <c:ser>
          <c:idx val="1"/>
          <c:order val="1"/>
          <c:tx>
            <c:v>Warriors_Home</c:v>
          </c:tx>
          <c:spPr>
            <a:ln w="19050" cap="rnd">
              <a:solidFill>
                <a:schemeClr val="accent2"/>
              </a:solidFill>
              <a:round/>
            </a:ln>
            <a:effectLst/>
          </c:spPr>
          <c:marker>
            <c:symbol val="none"/>
          </c:marker>
          <c:xVal>
            <c:numRef>
              <c:f>Warriors!$A$12:$A$25</c:f>
              <c:numCache>
                <c:formatCode>General</c:formatCode>
                <c:ptCount val="14"/>
                <c:pt idx="0">
                  <c:v>24</c:v>
                </c:pt>
                <c:pt idx="1">
                  <c:v>25</c:v>
                </c:pt>
                <c:pt idx="2">
                  <c:v>26</c:v>
                </c:pt>
                <c:pt idx="3">
                  <c:v>27</c:v>
                </c:pt>
                <c:pt idx="4">
                  <c:v>30</c:v>
                </c:pt>
                <c:pt idx="5">
                  <c:v>32</c:v>
                </c:pt>
                <c:pt idx="6">
                  <c:v>37</c:v>
                </c:pt>
                <c:pt idx="7">
                  <c:v>38</c:v>
                </c:pt>
                <c:pt idx="8">
                  <c:v>1</c:v>
                </c:pt>
                <c:pt idx="9">
                  <c:v>4</c:v>
                </c:pt>
                <c:pt idx="10">
                  <c:v>5</c:v>
                </c:pt>
                <c:pt idx="11">
                  <c:v>9</c:v>
                </c:pt>
                <c:pt idx="12">
                  <c:v>10</c:v>
                </c:pt>
                <c:pt idx="13">
                  <c:v>11</c:v>
                </c:pt>
              </c:numCache>
            </c:numRef>
          </c:xVal>
          <c:yVal>
            <c:numRef>
              <c:f>Warriors!$G$12:$G$25</c:f>
              <c:numCache>
                <c:formatCode>General</c:formatCode>
                <c:ptCount val="14"/>
                <c:pt idx="0">
                  <c:v>46</c:v>
                </c:pt>
                <c:pt idx="1">
                  <c:v>61</c:v>
                </c:pt>
                <c:pt idx="2">
                  <c:v>58</c:v>
                </c:pt>
                <c:pt idx="3">
                  <c:v>57</c:v>
                </c:pt>
                <c:pt idx="4">
                  <c:v>76</c:v>
                </c:pt>
                <c:pt idx="5">
                  <c:v>55</c:v>
                </c:pt>
                <c:pt idx="6">
                  <c:v>58</c:v>
                </c:pt>
                <c:pt idx="7">
                  <c:v>69</c:v>
                </c:pt>
                <c:pt idx="8">
                  <c:v>57</c:v>
                </c:pt>
                <c:pt idx="9">
                  <c:v>70</c:v>
                </c:pt>
                <c:pt idx="10">
                  <c:v>80</c:v>
                </c:pt>
                <c:pt idx="11">
                  <c:v>70</c:v>
                </c:pt>
                <c:pt idx="12">
                  <c:v>61</c:v>
                </c:pt>
                <c:pt idx="13">
                  <c:v>58</c:v>
                </c:pt>
              </c:numCache>
            </c:numRef>
          </c:yVal>
          <c:smooth val="0"/>
          <c:extLst>
            <c:ext xmlns:c16="http://schemas.microsoft.com/office/drawing/2014/chart" uri="{C3380CC4-5D6E-409C-BE32-E72D297353CC}">
              <c16:uniqueId val="{00000001-EA57-4BFC-A84F-007F77ABAF54}"/>
            </c:ext>
          </c:extLst>
        </c:ser>
        <c:dLbls>
          <c:showLegendKey val="0"/>
          <c:showVal val="0"/>
          <c:showCatName val="0"/>
          <c:showSerName val="0"/>
          <c:showPercent val="0"/>
          <c:showBubbleSize val="0"/>
        </c:dLbls>
        <c:axId val="450880504"/>
        <c:axId val="453204048"/>
      </c:scatterChart>
      <c:valAx>
        <c:axId val="450880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04048"/>
        <c:crosses val="autoZero"/>
        <c:crossBetween val="midCat"/>
      </c:valAx>
      <c:valAx>
        <c:axId val="45320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8805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[NBA.xlsm]3!PivotTable3</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bar"/>
        <c:grouping val="stacked"/>
        <c:varyColors val="0"/>
        <c:ser>
          <c:idx val="0"/>
          <c:order val="0"/>
          <c:tx>
            <c:strRef>
              <c:f>'3'!$H$10:$H$11</c:f>
              <c:strCache>
                <c:ptCount val="1"/>
                <c:pt idx="0">
                  <c:v>Dad</c:v>
                </c:pt>
              </c:strCache>
            </c:strRef>
          </c:tx>
          <c:spPr>
            <a:solidFill>
              <a:schemeClr val="accent1"/>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'3'!$H$12:$H$18</c:f>
              <c:numCache>
                <c:formatCode>"$"#,##0_);\("$"#,##0\)</c:formatCode>
                <c:ptCount val="6"/>
                <c:pt idx="4">
                  <c:v>20</c:v>
                </c:pt>
              </c:numCache>
            </c:numRef>
          </c:val>
          <c:extLst>
            <c:ext xmlns:c16="http://schemas.microsoft.com/office/drawing/2014/chart" uri="{C3380CC4-5D6E-409C-BE32-E72D297353CC}">
              <c16:uniqueId val="{00000000-BA8F-4E06-8B39-B40495B245C8}"/>
            </c:ext>
          </c:extLst>
        </c:ser>
        <c:ser>
          <c:idx val="1"/>
          <c:order val="1"/>
          <c:tx>
            <c:strRef>
              <c:f>'3'!$I$10:$I$11</c:f>
              <c:strCache>
                <c:ptCount val="1"/>
                <c:pt idx="0">
                  <c:v>Kelly</c:v>
                </c:pt>
              </c:strCache>
            </c:strRef>
          </c:tx>
          <c:spPr>
            <a:solidFill>
              <a:schemeClr val="accent2"/>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'3'!$I$12:$I$18</c:f>
              <c:numCache>
                <c:formatCode>"$"#,##0_);\("$"#,##0\)</c:formatCode>
                <c:ptCount val="6"/>
                <c:pt idx="0">
                  <c:v>125</c:v>
                </c:pt>
                <c:pt idx="3">
                  <c:v>20</c:v>
                </c:pt>
                <c:pt idx="5">
                  <c:v>125</c:v>
                </c:pt>
              </c:numCache>
            </c:numRef>
          </c:val>
          <c:extLst>
            <c:ext xmlns:c16="http://schemas.microsoft.com/office/drawing/2014/chart" uri="{C3380CC4-5D6E-409C-BE32-E72D297353CC}">
              <c16:uniqueId val="{00000001-BA8F-4E06-8B39-B40495B245C8}"/>
            </c:ext>
          </c:extLst>
        </c:ser>
        <c:ser>
          <c:idx val="2"/>
          <c:order val="2"/>
          <c:tx>
            <c:strRef>
              <c:f>'3'!$J$10:$J$11</c:f>
              <c:strCache>
                <c:ptCount val="1"/>
                <c:pt idx="0">
                  <c:v>Mom</c:v>
                </c:pt>
              </c:strCache>
            </c:strRef>
          </c:tx>
          <c:spPr>
            <a:solidFill>
              <a:schemeClr val="accent3"/>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'3'!$J$12:$J$18</c:f>
              <c:numCache>
                <c:formatCode>"$"#,##0_);\("$"#,##0\)</c:formatCode>
                <c:ptCount val="6"/>
                <c:pt idx="1">
                  <c:v>470</c:v>
                </c:pt>
                <c:pt idx="2">
                  <c:v>74</c:v>
                </c:pt>
              </c:numCache>
            </c:numRef>
          </c:val>
          <c:extLst>
            <c:ext xmlns:c16="http://schemas.microsoft.com/office/drawing/2014/chart" uri="{C3380CC4-5D6E-409C-BE32-E72D297353CC}">
              <c16:uniqueId val="{00000002-BA8F-4E06-8B39-B40495B245C8}"/>
            </c:ext>
          </c:extLst>
        </c:ser>
        <c:dLbls>
          <c:showLegendKey val="0"/>
          <c:showVal val="0"/>
          <c:showCatName val="0"/>
          <c:showSerName val="0"/>
          <c:showPercent val="0"/>
          <c:showBubbleSize val="0"/>
        </c:dLbls>
        <c:gapWidth val="219"/>
        <c:overlap val="100"/>
        <c:axId val="376672800"/>
        <c:axId val="376673456"/>
      </c:barChart>
      <c:catAx>
        <c:axId val="376672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3456"/>
        <c:crosses val="autoZero"/>
        <c:auto val="1"/>
        <c:lblAlgn val="ctr"/>
        <c:lblOffset val="100"/>
        <c:noMultiLvlLbl val="0"/>
      </c:catAx>
      <c:valAx>
        <c:axId val="37667345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2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3" Type="http://schemas.openxmlformats.org/officeDocument/2006/relationships/hyperlink" Target="http://go.microsoft.com/fwlink/?LinkId=856930" TargetMode="External"/><Relationship Id="rId2" Type="http://schemas.openxmlformats.org/officeDocument/2006/relationships/hyperlink" Target="#Start!A1"/><Relationship Id="rId1" Type="http://schemas.openxmlformats.org/officeDocument/2006/relationships/hyperlink" Target="#'2'!A1"/></Relationships>
</file>

<file path=xl/drawings/_rels/drawing5.xml.rels><?xml version="1.0" encoding="UTF-8" standalone="yes"?>
<Relationships xmlns="http://schemas.openxmlformats.org/package/2006/relationships"><Relationship Id="rId3" Type="http://schemas.openxmlformats.org/officeDocument/2006/relationships/hyperlink" Target="http://go.microsoft.com/fwlink/?LinkId=856933" TargetMode="External"/><Relationship Id="rId2" Type="http://schemas.openxmlformats.org/officeDocument/2006/relationships/hyperlink" Target="#'1'!A1"/><Relationship Id="rId1" Type="http://schemas.openxmlformats.org/officeDocument/2006/relationships/hyperlink" Target="#'3'!A1"/></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hyperlink" Target="#'2'!A1"/><Relationship Id="rId1" Type="http://schemas.openxmlformats.org/officeDocument/2006/relationships/hyperlink" Target="#'4'!A1"/><Relationship Id="rId4" Type="http://schemas.openxmlformats.org/officeDocument/2006/relationships/hyperlink" Target="http://go.microsoft.com/fwlink/?LinkId=856937" TargetMode="External"/></Relationships>
</file>

<file path=xl/drawings/_rels/drawing7.xml.rels><?xml version="1.0" encoding="UTF-8" standalone="yes"?>
<Relationships xmlns="http://schemas.openxmlformats.org/package/2006/relationships"><Relationship Id="rId3" Type="http://schemas.openxmlformats.org/officeDocument/2006/relationships/hyperlink" Target="http://go.microsoft.com/fwlink/?LinkId=856941" TargetMode="External"/><Relationship Id="rId2" Type="http://schemas.openxmlformats.org/officeDocument/2006/relationships/hyperlink" Target="#'3'!A1"/><Relationship Id="rId1" Type="http://schemas.openxmlformats.org/officeDocument/2006/relationships/hyperlink" Target="#'5'!A1"/></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4'!A1"/><Relationship Id="rId1" Type="http://schemas.openxmlformats.org/officeDocument/2006/relationships/hyperlink" Target="#'6'!A1"/><Relationship Id="rId5" Type="http://schemas.openxmlformats.org/officeDocument/2006/relationships/hyperlink" Target="http://go.microsoft.com/fwlink/?LinkId=856945" TargetMode="External"/><Relationship Id="rId4" Type="http://schemas.openxmlformats.org/officeDocument/2006/relationships/image" Target="../media/image13.svg"/></Relationships>
</file>

<file path=xl/drawings/_rels/drawing9.xml.rels><?xml version="1.0" encoding="UTF-8" standalone="yes"?>
<Relationships xmlns="http://schemas.openxmlformats.org/package/2006/relationships"><Relationship Id="rId3" Type="http://schemas.openxmlformats.org/officeDocument/2006/relationships/hyperlink" Target="http://go.microsoft.com/fwlink/?LinkId=856948" TargetMode="External"/><Relationship Id="rId2" Type="http://schemas.openxmlformats.org/officeDocument/2006/relationships/hyperlink" Target="#'5'!A1"/><Relationship Id="rId1" Type="http://schemas.openxmlformats.org/officeDocument/2006/relationships/hyperlink" Target="#'7'!A1"/></Relationships>
</file>

<file path=xl/drawings/_rels/drawing10.xml.rels><?xml version="1.0" encoding="UTF-8" standalone="yes"?>
<Relationships xmlns="http://schemas.openxmlformats.org/package/2006/relationships"><Relationship Id="rId3" Type="http://schemas.openxmlformats.org/officeDocument/2006/relationships/hyperlink" Target="http://go.microsoft.com/fwlink/?LinkId=856951" TargetMode="External"/><Relationship Id="rId2" Type="http://schemas.openxmlformats.org/officeDocument/2006/relationships/hyperlink" Target="#'6'!A1"/><Relationship Id="rId1" Type="http://schemas.openxmlformats.org/officeDocument/2006/relationships/hyperlink" Target="#'8'!A1"/></Relationships>
</file>

<file path=xl/drawings/_rels/drawing11.xml.rels><?xml version="1.0" encoding="UTF-8" standalone="yes"?>
<Relationships xmlns="http://schemas.openxmlformats.org/package/2006/relationships"><Relationship Id="rId3" Type="http://schemas.openxmlformats.org/officeDocument/2006/relationships/hyperlink" Target="http://go.microsoft.com/fwlink/?LinkId=856927" TargetMode="External"/><Relationship Id="rId2" Type="http://schemas.openxmlformats.org/officeDocument/2006/relationships/hyperlink" Target="#'7'!A1"/><Relationship Id="rId1" Type="http://schemas.openxmlformats.org/officeDocument/2006/relationships/hyperlink" Target="#'9'!A1"/></Relationships>
</file>

<file path=xl/drawings/_rels/drawing12.xml.rels><?xml version="1.0" encoding="UTF-8" standalone="yes"?>
<Relationships xmlns="http://schemas.openxmlformats.org/package/2006/relationships"><Relationship Id="rId3" Type="http://schemas.openxmlformats.org/officeDocument/2006/relationships/hyperlink" Target="http://go.microsoft.com/fwlink/?LinkId=856932" TargetMode="External"/><Relationship Id="rId2" Type="http://schemas.openxmlformats.org/officeDocument/2006/relationships/hyperlink" Target="#'8'!A1"/><Relationship Id="rId1" Type="http://schemas.openxmlformats.org/officeDocument/2006/relationships/hyperlink" Target="#'10'!A1"/></Relationships>
</file>

<file path=xl/drawings/_rels/drawing13.xml.rels><?xml version="1.0" encoding="UTF-8" standalone="yes"?>
<Relationships xmlns="http://schemas.openxmlformats.org/package/2006/relationships"><Relationship Id="rId3" Type="http://schemas.openxmlformats.org/officeDocument/2006/relationships/hyperlink" Target="http://go.microsoft.com/fwlink/?LinkId=856936" TargetMode="External"/><Relationship Id="rId2" Type="http://schemas.openxmlformats.org/officeDocument/2006/relationships/hyperlink" Target="#'9'!A1"/><Relationship Id="rId1" Type="http://schemas.openxmlformats.org/officeDocument/2006/relationships/hyperlink" Target="#'11'!A1"/></Relationships>
</file>

<file path=xl/drawings/_rels/drawing14.xml.rels><?xml version="1.0" encoding="UTF-8" standalone="yes"?>
<Relationships xmlns="http://schemas.openxmlformats.org/package/2006/relationships"><Relationship Id="rId3" Type="http://schemas.openxmlformats.org/officeDocument/2006/relationships/hyperlink" Target="http://go.microsoft.com/fwlink/?LinkId=856940" TargetMode="External"/><Relationship Id="rId2" Type="http://schemas.openxmlformats.org/officeDocument/2006/relationships/hyperlink" Target="#'10'!A1"/><Relationship Id="rId1" Type="http://schemas.openxmlformats.org/officeDocument/2006/relationships/hyperlink" Target="#'12'!A1"/></Relationships>
</file>

<file path=xl/drawings/_rels/drawing15.xml.rels><?xml version="1.0" encoding="UTF-8" standalone="yes"?>
<Relationships xmlns="http://schemas.openxmlformats.org/package/2006/relationships"><Relationship Id="rId3" Type="http://schemas.openxmlformats.org/officeDocument/2006/relationships/hyperlink" Target="http://go.microsoft.com/fwlink/?LinkId=856944" TargetMode="External"/><Relationship Id="rId2" Type="http://schemas.openxmlformats.org/officeDocument/2006/relationships/hyperlink" Target="#'11'!A1"/><Relationship Id="rId1" Type="http://schemas.openxmlformats.org/officeDocument/2006/relationships/hyperlink" Target="#'13'!A1"/></Relationships>
</file>

<file path=xl/drawings/_rels/drawing16.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14.png"/><Relationship Id="rId4" Type="http://schemas.openxmlformats.org/officeDocument/2006/relationships/hyperlink" Target="http://go.microsoft.com/fwlink/?LinkId=856949"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hyperlink" Target="#'13'!A1"/><Relationship Id="rId1" Type="http://schemas.openxmlformats.org/officeDocument/2006/relationships/hyperlink" Target="#'15'!A1"/><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hyperlink" Target="http://go.microsoft.com/fwlink/?LinkId=856928"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hyperlink" Target="http://go.microsoft.com/fwlink/?LinkId=856931"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hyperlink" Target="#'15'!A1"/><Relationship Id="rId1" Type="http://schemas.openxmlformats.org/officeDocument/2006/relationships/hyperlink" Target="#'17'!A1"/><Relationship Id="rId4" Type="http://schemas.openxmlformats.org/officeDocument/2006/relationships/hyperlink" Target="http://go.microsoft.com/fwlink/?LinkId=856935"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hyperlink" Target="http://go.microsoft.com/fwlink/?LinkId=856939" TargetMode="External"/></Relationships>
</file>

<file path=xl/drawings/_rels/drawing21.xml.rels><?xml version="1.0" encoding="UTF-8" standalone="yes"?>
<Relationships xmlns="http://schemas.openxmlformats.org/package/2006/relationships"><Relationship Id="rId3" Type="http://schemas.openxmlformats.org/officeDocument/2006/relationships/hyperlink" Target="http://go.microsoft.com/fwlink/?LinkId=856943" TargetMode="External"/><Relationship Id="rId2" Type="http://schemas.openxmlformats.org/officeDocument/2006/relationships/hyperlink" Target="#'17'!A1"/><Relationship Id="rId1" Type="http://schemas.openxmlformats.org/officeDocument/2006/relationships/hyperlink" Target="#'19'!A1"/></Relationships>
</file>

<file path=xl/drawings/_rels/drawing22.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hyperlink" Target="http://go.microsoft.com/fwlink/?LinkId=856947" TargetMode="External"/><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svg"/></Relationships>
</file>

<file path=xl/drawings/_rels/drawing23.xml.rels><?xml version="1.0" encoding="UTF-8" standalone="yes"?>
<Relationships xmlns="http://schemas.openxmlformats.org/package/2006/relationships"><Relationship Id="rId3" Type="http://schemas.openxmlformats.org/officeDocument/2006/relationships/hyperlink" Target="http://go.microsoft.com/fwlink/?LinkId=856929" TargetMode="External"/><Relationship Id="rId2" Type="http://schemas.openxmlformats.org/officeDocument/2006/relationships/hyperlink" Target="#'19'!A1"/><Relationship Id="rId1" Type="http://schemas.openxmlformats.org/officeDocument/2006/relationships/hyperlink" Target="#'Learn more'!A1"/></Relationships>
</file>

<file path=xl/drawings/_rels/drawing24.xml.rels><?xml version="1.0" encoding="UTF-8" standalone="yes"?>
<Relationships xmlns="http://schemas.openxmlformats.org/package/2006/relationships"><Relationship Id="rId8" Type="http://schemas.openxmlformats.org/officeDocument/2006/relationships/image" Target="../media/image28.svg"/><Relationship Id="rId3" Type="http://schemas.openxmlformats.org/officeDocument/2006/relationships/hyperlink" Target="http://go.microsoft.com/fwlink/?LinkId=856946" TargetMode="External"/><Relationship Id="rId7" Type="http://schemas.openxmlformats.org/officeDocument/2006/relationships/image" Target="../media/image27.png"/><Relationship Id="rId12" Type="http://schemas.openxmlformats.org/officeDocument/2006/relationships/image" Target="../media/image31.png"/><Relationship Id="rId2" Type="http://schemas.openxmlformats.org/officeDocument/2006/relationships/hyperlink" Target="http://go.microsoft.com/fwlink/?LinkId=856950" TargetMode="External"/><Relationship Id="rId1" Type="http://schemas.openxmlformats.org/officeDocument/2006/relationships/hyperlink" Target="http://go.microsoft.com/fwlink/?LinkId=856934" TargetMode="External"/><Relationship Id="rId6" Type="http://schemas.openxmlformats.org/officeDocument/2006/relationships/image" Target="../media/image26.png"/><Relationship Id="rId11" Type="http://schemas.openxmlformats.org/officeDocument/2006/relationships/hyperlink" Target="http://go.microsoft.com/fwlink/?LinkId=856942" TargetMode="External"/><Relationship Id="rId5" Type="http://schemas.openxmlformats.org/officeDocument/2006/relationships/hyperlink" Target="http://go.microsoft.com/fwlink/?LinkId=856938" TargetMode="External"/><Relationship Id="rId10" Type="http://schemas.openxmlformats.org/officeDocument/2006/relationships/image" Target="../media/image30.svg"/><Relationship Id="rId4" Type="http://schemas.openxmlformats.org/officeDocument/2006/relationships/image" Target="../media/image25.png"/><Relationship Id="rId9" Type="http://schemas.openxmlformats.org/officeDocument/2006/relationships/image" Target="../media/image29.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2.emf"/><Relationship Id="rId1" Type="http://schemas.openxmlformats.org/officeDocument/2006/relationships/image" Target="../media/image3.emf"/><Relationship Id="rId6"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50800</xdr:colOff>
          <xdr:row>8</xdr:row>
          <xdr:rowOff>95250</xdr:rowOff>
        </xdr:from>
        <xdr:to>
          <xdr:col>11</xdr:col>
          <xdr:colOff>165100</xdr:colOff>
          <xdr:row>10</xdr:row>
          <xdr:rowOff>107950</xdr:rowOff>
        </xdr:to>
        <xdr:sp macro="" textlink="">
          <xdr:nvSpPr>
            <xdr:cNvPr id="21506" name="btnUpdateScores" hidden="1">
              <a:extLst>
                <a:ext uri="{63B3BB69-23CF-44E3-9099-C40C66FF867C}">
                  <a14:compatExt spid="_x0000_s21506"/>
                </a:ext>
                <a:ext uri="{FF2B5EF4-FFF2-40B4-BE49-F238E27FC236}">
                  <a16:creationId xmlns:a16="http://schemas.microsoft.com/office/drawing/2014/main" id="{00000000-0008-0000-00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1</xdr:row>
          <xdr:rowOff>133350</xdr:rowOff>
        </xdr:from>
        <xdr:to>
          <xdr:col>11</xdr:col>
          <xdr:colOff>165100</xdr:colOff>
          <xdr:row>3</xdr:row>
          <xdr:rowOff>107950</xdr:rowOff>
        </xdr:to>
        <xdr:sp macro="" textlink="">
          <xdr:nvSpPr>
            <xdr:cNvPr id="21507" name="btnUploadData" hidden="1">
              <a:extLst>
                <a:ext uri="{63B3BB69-23CF-44E3-9099-C40C66FF867C}">
                  <a14:compatExt spid="_x0000_s21507"/>
                </a:ext>
                <a:ext uri="{FF2B5EF4-FFF2-40B4-BE49-F238E27FC236}">
                  <a16:creationId xmlns:a16="http://schemas.microsoft.com/office/drawing/2014/main" id="{00000000-0008-0000-00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323850</xdr:colOff>
          <xdr:row>18</xdr:row>
          <xdr:rowOff>50800</xdr:rowOff>
        </xdr:from>
        <xdr:to>
          <xdr:col>4</xdr:col>
          <xdr:colOff>0</xdr:colOff>
          <xdr:row>20</xdr:row>
          <xdr:rowOff>57150</xdr:rowOff>
        </xdr:to>
        <xdr:sp macro="" textlink="">
          <xdr:nvSpPr>
            <xdr:cNvPr id="21508" name="btnClearHistory" hidden="1">
              <a:extLst>
                <a:ext uri="{63B3BB69-23CF-44E3-9099-C40C66FF867C}">
                  <a14:compatExt spid="_x0000_s21508"/>
                </a:ext>
                <a:ext uri="{FF2B5EF4-FFF2-40B4-BE49-F238E27FC236}">
                  <a16:creationId xmlns:a16="http://schemas.microsoft.com/office/drawing/2014/main" id="{00000000-0008-0000-00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0</xdr:row>
          <xdr:rowOff>107950</xdr:rowOff>
        </xdr:from>
        <xdr:to>
          <xdr:col>4</xdr:col>
          <xdr:colOff>209550</xdr:colOff>
          <xdr:row>2</xdr:row>
          <xdr:rowOff>63500</xdr:rowOff>
        </xdr:to>
        <xdr:sp macro="" textlink="">
          <xdr:nvSpPr>
            <xdr:cNvPr id="21509" name="btnLast60Days" hidden="1">
              <a:extLst>
                <a:ext uri="{63B3BB69-23CF-44E3-9099-C40C66FF867C}">
                  <a14:compatExt spid="_x0000_s21509"/>
                </a:ext>
                <a:ext uri="{FF2B5EF4-FFF2-40B4-BE49-F238E27FC236}">
                  <a16:creationId xmlns:a16="http://schemas.microsoft.com/office/drawing/2014/main" id="{00000000-0008-0000-00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xdr:row>
          <xdr:rowOff>171450</xdr:rowOff>
        </xdr:from>
        <xdr:to>
          <xdr:col>3</xdr:col>
          <xdr:colOff>292100</xdr:colOff>
          <xdr:row>4</xdr:row>
          <xdr:rowOff>57150</xdr:rowOff>
        </xdr:to>
        <xdr:sp macro="" textlink="">
          <xdr:nvSpPr>
            <xdr:cNvPr id="21510" name="txtStartDate" hidden="1">
              <a:extLst>
                <a:ext uri="{63B3BB69-23CF-44E3-9099-C40C66FF867C}">
                  <a14:compatExt spid="_x0000_s21510"/>
                </a:ext>
                <a:ext uri="{FF2B5EF4-FFF2-40B4-BE49-F238E27FC236}">
                  <a16:creationId xmlns:a16="http://schemas.microsoft.com/office/drawing/2014/main" id="{00000000-0008-0000-00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146050</xdr:colOff>
          <xdr:row>5</xdr:row>
          <xdr:rowOff>0</xdr:rowOff>
        </xdr:from>
        <xdr:to>
          <xdr:col>3</xdr:col>
          <xdr:colOff>285750</xdr:colOff>
          <xdr:row>6</xdr:row>
          <xdr:rowOff>63500</xdr:rowOff>
        </xdr:to>
        <xdr:sp macro="" textlink="">
          <xdr:nvSpPr>
            <xdr:cNvPr id="21511" name="txtEndDate" hidden="1">
              <a:extLst>
                <a:ext uri="{63B3BB69-23CF-44E3-9099-C40C66FF867C}">
                  <a14:compatExt spid="_x0000_s21511"/>
                </a:ext>
                <a:ext uri="{FF2B5EF4-FFF2-40B4-BE49-F238E27FC236}">
                  <a16:creationId xmlns:a16="http://schemas.microsoft.com/office/drawing/2014/main" id="{00000000-0008-0000-00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679450</xdr:colOff>
          <xdr:row>5</xdr:row>
          <xdr:rowOff>127000</xdr:rowOff>
        </xdr:from>
        <xdr:to>
          <xdr:col>11</xdr:col>
          <xdr:colOff>101600</xdr:colOff>
          <xdr:row>7</xdr:row>
          <xdr:rowOff>25400</xdr:rowOff>
        </xdr:to>
        <xdr:sp macro="" textlink="">
          <xdr:nvSpPr>
            <xdr:cNvPr id="21515" name="txtDate" hidden="1">
              <a:extLst>
                <a:ext uri="{63B3BB69-23CF-44E3-9099-C40C66FF867C}">
                  <a14:compatExt spid="_x0000_s21515"/>
                </a:ext>
                <a:ext uri="{FF2B5EF4-FFF2-40B4-BE49-F238E27FC236}">
                  <a16:creationId xmlns:a16="http://schemas.microsoft.com/office/drawing/2014/main" id="{00000000-0008-0000-00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336550</xdr:colOff>
          <xdr:row>14</xdr:row>
          <xdr:rowOff>31750</xdr:rowOff>
        </xdr:from>
        <xdr:to>
          <xdr:col>4</xdr:col>
          <xdr:colOff>12700</xdr:colOff>
          <xdr:row>16</xdr:row>
          <xdr:rowOff>44450</xdr:rowOff>
        </xdr:to>
        <xdr:sp macro="" textlink="">
          <xdr:nvSpPr>
            <xdr:cNvPr id="21516" name="btnClearScores" hidden="1">
              <a:extLst>
                <a:ext uri="{63B3BB69-23CF-44E3-9099-C40C66FF867C}">
                  <a14:compatExt spid="_x0000_s21516"/>
                </a:ext>
                <a:ext uri="{FF2B5EF4-FFF2-40B4-BE49-F238E27FC236}">
                  <a16:creationId xmlns:a16="http://schemas.microsoft.com/office/drawing/2014/main" id="{00000000-0008-0000-00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14</xdr:row>
          <xdr:rowOff>95250</xdr:rowOff>
        </xdr:from>
        <xdr:to>
          <xdr:col>11</xdr:col>
          <xdr:colOff>361950</xdr:colOff>
          <xdr:row>16</xdr:row>
          <xdr:rowOff>69850</xdr:rowOff>
        </xdr:to>
        <xdr:sp macro="" textlink="">
          <xdr:nvSpPr>
            <xdr:cNvPr id="21517" name="btnHomeAwaySort" hidden="1">
              <a:extLst>
                <a:ext uri="{63B3BB69-23CF-44E3-9099-C40C66FF867C}">
                  <a14:compatExt spid="_x0000_s21517"/>
                </a:ext>
                <a:ext uri="{FF2B5EF4-FFF2-40B4-BE49-F238E27FC236}">
                  <a16:creationId xmlns:a16="http://schemas.microsoft.com/office/drawing/2014/main" id="{00000000-0008-0000-00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18</xdr:row>
          <xdr:rowOff>88900</xdr:rowOff>
        </xdr:from>
        <xdr:to>
          <xdr:col>11</xdr:col>
          <xdr:colOff>247650</xdr:colOff>
          <xdr:row>20</xdr:row>
          <xdr:rowOff>12700</xdr:rowOff>
        </xdr:to>
        <xdr:sp macro="" textlink="">
          <xdr:nvSpPr>
            <xdr:cNvPr id="21518" name="btnGameDateSort" hidden="1">
              <a:extLst>
                <a:ext uri="{63B3BB69-23CF-44E3-9099-C40C66FF867C}">
                  <a14:compatExt spid="_x0000_s21518"/>
                </a:ext>
                <a:ext uri="{FF2B5EF4-FFF2-40B4-BE49-F238E27FC236}">
                  <a16:creationId xmlns:a16="http://schemas.microsoft.com/office/drawing/2014/main" id="{00000000-0008-0000-00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565150</xdr:colOff>
          <xdr:row>7</xdr:row>
          <xdr:rowOff>107950</xdr:rowOff>
        </xdr:from>
        <xdr:to>
          <xdr:col>4</xdr:col>
          <xdr:colOff>165100</xdr:colOff>
          <xdr:row>9</xdr:row>
          <xdr:rowOff>76200</xdr:rowOff>
        </xdr:to>
        <xdr:sp macro="" textlink="">
          <xdr:nvSpPr>
            <xdr:cNvPr id="21519" name="Button 15" hidden="1">
              <a:extLst>
                <a:ext uri="{63B3BB69-23CF-44E3-9099-C40C66FF867C}">
                  <a14:compatExt spid="_x0000_s21519"/>
                </a:ext>
                <a:ext uri="{FF2B5EF4-FFF2-40B4-BE49-F238E27FC236}">
                  <a16:creationId xmlns:a16="http://schemas.microsoft.com/office/drawing/2014/main" id="{00000000-0008-0000-0000-00000F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Calculate 2nd Half Scores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523875</xdr:colOff>
      <xdr:row>5</xdr:row>
      <xdr:rowOff>66675</xdr:rowOff>
    </xdr:from>
    <xdr:to>
      <xdr:col>14</xdr:col>
      <xdr:colOff>219075</xdr:colOff>
      <xdr:row>19</xdr:row>
      <xdr:rowOff>142875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53975</xdr:colOff>
      <xdr:row>23</xdr:row>
      <xdr:rowOff>101600</xdr:rowOff>
    </xdr:from>
    <xdr:to>
      <xdr:col>13</xdr:col>
      <xdr:colOff>358775</xdr:colOff>
      <xdr:row>38</xdr:row>
      <xdr:rowOff>82550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absoluteAnchor>
    <xdr:pos x="139700" y="3340100"/>
    <xdr:ext cx="1631950" cy="730250"/>
    <xdr:pic>
      <xdr:nvPicPr>
        <xdr:cNvPr id="2" name="Logo" descr="Excel logo">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srcRect l="6589" t="13099" r="6742" b="13099"/>
        <a:stretch/>
      </xdr:blipFill>
      <xdr:spPr>
        <a:xfrm>
          <a:off x="139700" y="3340100"/>
          <a:ext cx="1631950" cy="730250"/>
        </a:xfrm>
        <a:prstGeom prst="rect">
          <a:avLst/>
        </a:prstGeom>
      </xdr:spPr>
    </xdr:pic>
    <xdr:clientData/>
  </xdr:absoluteAnchor>
  <xdr:absoluteAnchor>
    <xdr:pos x="6381750" y="3571875"/>
    <xdr:ext cx="1170432" cy="514350"/>
    <xdr:sp macro="" textlink="">
      <xdr:nvSpPr>
        <xdr:cNvPr id="3" name="Next Button" descr="Navigation link to the next step">
          <a:hlinkClick xmlns:r="http://schemas.openxmlformats.org/officeDocument/2006/relationships" r:id="rId2" tooltip="Select to get started"/>
          <a:extLst>
            <a:ext uri="{FF2B5EF4-FFF2-40B4-BE49-F238E27FC236}">
              <a16:creationId xmlns:a16="http://schemas.microsoft.com/office/drawing/2014/main" id="{00000000-0008-0000-0A00-000003000000}"/>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4.xml><?xml version="1.0" encoding="utf-8"?>
<xdr:wsDr xmlns:xdr="http://schemas.openxmlformats.org/drawingml/2006/spreadsheetDrawing" xmlns:a="http://schemas.openxmlformats.org/drawingml/2006/main">
  <xdr:absoluteAnchor>
    <xdr:pos x="12699" y="0"/>
    <xdr:ext cx="8146669" cy="770128"/>
    <xdr:sp macro="" textlink="">
      <xdr:nvSpPr>
        <xdr:cNvPr id="2" name="Header" descr="What is a PivotTable? In its most basic form, a PivotTable takes data and summarizes it so you can make sense of it, all without typing any formulas&#10;">
          <a:extLst>
            <a:ext uri="{FF2B5EF4-FFF2-40B4-BE49-F238E27FC236}">
              <a16:creationId xmlns:a16="http://schemas.microsoft.com/office/drawing/2014/main" id="{00000000-0008-0000-0B00-000002000000}"/>
            </a:ext>
          </a:extLst>
        </xdr:cNvPr>
        <xdr:cNvSpPr txBox="1"/>
      </xdr:nvSpPr>
      <xdr:spPr>
        <a:xfrm>
          <a:off x="12699"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500" b="1" kern="0" baseline="0">
              <a:solidFill>
                <a:schemeClr val="bg2">
                  <a:lumMod val="25000"/>
                </a:schemeClr>
              </a:solidFill>
              <a:latin typeface="Segoe UI Semibold" panose="020B0702040204020203" pitchFamily="34" charset="0"/>
              <a:ea typeface="Segoe UI" pitchFamily="34" charset="0"/>
              <a:cs typeface="Segoe UI Semibold" panose="020B0702040204020203" pitchFamily="34" charset="0"/>
            </a:rPr>
            <a:t>What is a PivotTable? </a:t>
          </a:r>
          <a:r>
            <a:rPr lang="en-US" sz="15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In its most basic form, a</a:t>
          </a:r>
          <a:r>
            <a:rPr lang="en-US" sz="150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 PivotTable takes data and summarizes it so you can make sense of it, all without typing any formulas!</a:t>
          </a:r>
          <a:endParaRPr lang="en-US" sz="15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0" y="3594100"/>
    <xdr:ext cx="8146669" cy="641350"/>
    <xdr:sp macro="" textlink="">
      <xdr:nvSpPr>
        <xdr:cNvPr id="3" name="Footer" descr="Background">
          <a:extLst>
            <a:ext uri="{FF2B5EF4-FFF2-40B4-BE49-F238E27FC236}">
              <a16:creationId xmlns:a16="http://schemas.microsoft.com/office/drawing/2014/main" id="{00000000-0008-0000-0B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8793" y="3742326"/>
    <xdr:ext cx="1271016"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B00-000004000000}"/>
            </a:ext>
          </a:extLst>
        </xdr:cNvPr>
        <xdr:cNvSpPr/>
      </xdr:nvSpPr>
      <xdr:spPr>
        <a:xfrm>
          <a:off x="634879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26859" y="3742326"/>
    <xdr:ext cx="1273683"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B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697230" y="1009672"/>
    <xdr:ext cx="2550795" cy="565128"/>
    <xdr:grpSp>
      <xdr:nvGrpSpPr>
        <xdr:cNvPr id="6" name="Tip Text Group 1" descr="&quot;This is data&quot; tip text shape brackets Expenses1 table columns Date, Buyer, Type, and Amount">
          <a:extLst>
            <a:ext uri="{FF2B5EF4-FFF2-40B4-BE49-F238E27FC236}">
              <a16:creationId xmlns:a16="http://schemas.microsoft.com/office/drawing/2014/main" id="{00000000-0008-0000-0B00-000006000000}"/>
            </a:ext>
          </a:extLst>
        </xdr:cNvPr>
        <xdr:cNvGrpSpPr/>
      </xdr:nvGrpSpPr>
      <xdr:grpSpPr>
        <a:xfrm>
          <a:off x="697230" y="1009672"/>
          <a:ext cx="2550795" cy="565128"/>
          <a:chOff x="697230" y="1009672"/>
          <a:chExt cx="2560320" cy="565128"/>
        </a:xfrm>
      </xdr:grpSpPr>
      <xdr:sp macro="" textlink="">
        <xdr:nvSpPr>
          <xdr:cNvPr id="7" name="Bracket 1" descr="Bracket">
            <a:extLst>
              <a:ext uri="{FF2B5EF4-FFF2-40B4-BE49-F238E27FC236}">
                <a16:creationId xmlns:a16="http://schemas.microsoft.com/office/drawing/2014/main" id="{00000000-0008-0000-0B00-000007000000}"/>
              </a:ext>
            </a:extLst>
          </xdr:cNvPr>
          <xdr:cNvSpPr/>
        </xdr:nvSpPr>
        <xdr:spPr>
          <a:xfrm rot="5400000">
            <a:off x="1891665" y="208915"/>
            <a:ext cx="171450" cy="2560320"/>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1" descr="Tip text box &quot;This is data&quot;&#10;">
            <a:extLst>
              <a:ext uri="{FF2B5EF4-FFF2-40B4-BE49-F238E27FC236}">
                <a16:creationId xmlns:a16="http://schemas.microsoft.com/office/drawing/2014/main" id="{00000000-0008-0000-0B00-000008000000}"/>
              </a:ext>
            </a:extLst>
          </xdr:cNvPr>
          <xdr:cNvSpPr txBox="1">
            <a:spLocks noChangeArrowheads="1"/>
          </xdr:cNvSpPr>
        </xdr:nvSpPr>
        <xdr:spPr bwMode="auto">
          <a:xfrm>
            <a:off x="1473197" y="1009672"/>
            <a:ext cx="9398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This is data.</a:t>
            </a:r>
          </a:p>
        </xdr:txBody>
      </xdr:sp>
    </xdr:grpSp>
    <xdr:clientData/>
  </xdr:absoluteAnchor>
  <xdr:absoluteAnchor>
    <xdr:pos x="3990977" y="996971"/>
    <xdr:ext cx="2901949" cy="628635"/>
    <xdr:grpSp>
      <xdr:nvGrpSpPr>
        <xdr:cNvPr id="9" name="Tip Text Group 2" descr="Tip text shape brackets a simple PivotTable with Buyer and Sum of Amount fields">
          <a:extLst>
            <a:ext uri="{FF2B5EF4-FFF2-40B4-BE49-F238E27FC236}">
              <a16:creationId xmlns:a16="http://schemas.microsoft.com/office/drawing/2014/main" id="{00000000-0008-0000-0B00-000009000000}"/>
            </a:ext>
          </a:extLst>
        </xdr:cNvPr>
        <xdr:cNvGrpSpPr/>
      </xdr:nvGrpSpPr>
      <xdr:grpSpPr>
        <a:xfrm>
          <a:off x="3990977" y="996971"/>
          <a:ext cx="2901949" cy="628635"/>
          <a:chOff x="3986515" y="997256"/>
          <a:chExt cx="2909654" cy="628351"/>
        </a:xfrm>
      </xdr:grpSpPr>
      <xdr:sp macro="" textlink="">
        <xdr:nvSpPr>
          <xdr:cNvPr id="10" name="Tip Text 2" descr="Tip text shape &quot;This simple PivotTable summarizes the data&quot; brackets PivotTable Buyer and Sum of Amount&#10;">
            <a:extLst>
              <a:ext uri="{FF2B5EF4-FFF2-40B4-BE49-F238E27FC236}">
                <a16:creationId xmlns:a16="http://schemas.microsoft.com/office/drawing/2014/main" id="{00000000-0008-0000-0B00-00000A000000}"/>
              </a:ext>
            </a:extLst>
          </xdr:cNvPr>
          <xdr:cNvSpPr txBox="1">
            <a:spLocks noChangeArrowheads="1"/>
          </xdr:cNvSpPr>
        </xdr:nvSpPr>
        <xdr:spPr bwMode="auto">
          <a:xfrm>
            <a:off x="3986515" y="997256"/>
            <a:ext cx="2909654"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simple PivotTable</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summarizes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11" name="Bracket 2" descr="Bracket">
            <a:extLst>
              <a:ext uri="{FF2B5EF4-FFF2-40B4-BE49-F238E27FC236}">
                <a16:creationId xmlns:a16="http://schemas.microsoft.com/office/drawing/2014/main" id="{00000000-0008-0000-0B00-00000B000000}"/>
              </a:ext>
            </a:extLst>
          </xdr:cNvPr>
          <xdr:cNvSpPr/>
        </xdr:nvSpPr>
        <xdr:spPr>
          <a:xfrm rot="5400000">
            <a:off x="5329235" y="658817"/>
            <a:ext cx="222256" cy="1711323"/>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absoluteAnchor>
  <xdr:absoluteAnchor>
    <xdr:pos x="3451670" y="4042950"/>
    <xdr:ext cx="1259205" cy="182880"/>
    <xdr:sp macro="" textlink="">
      <xdr:nvSpPr>
        <xdr:cNvPr id="12"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B00-00000C000000}"/>
            </a:ext>
          </a:extLst>
        </xdr:cNvPr>
        <xdr:cNvSpPr/>
      </xdr:nvSpPr>
      <xdr:spPr>
        <a:xfrm>
          <a:off x="3451670" y="4042950"/>
          <a:ext cx="125920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0" y="0"/>
    <xdr:ext cx="8153019" cy="770128"/>
    <xdr:sp macro="" textlink="">
      <xdr:nvSpPr>
        <xdr:cNvPr id="2" name="Header" descr="That was a simple example. Here's a more sophisticated one. This one shows the spending amounts broken down by type of purchase and by buyer">
          <a:extLst>
            <a:ext uri="{FF2B5EF4-FFF2-40B4-BE49-F238E27FC236}">
              <a16:creationId xmlns:a16="http://schemas.microsoft.com/office/drawing/2014/main" id="{00000000-0008-0000-0C00-000002000000}"/>
            </a:ext>
          </a:extLst>
        </xdr:cNvPr>
        <xdr:cNvSpPr txBox="1"/>
      </xdr:nvSpPr>
      <xdr:spPr>
        <a:xfrm>
          <a:off x="0" y="0"/>
          <a:ext cx="815301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That was a simple example.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Here's a more sophisticated one. This one shows the spending amounts broken down by type of purchase and by buyer.</a:t>
          </a:r>
        </a:p>
      </xdr:txBody>
    </xdr:sp>
    <xdr:clientData/>
  </xdr:absoluteAnchor>
  <xdr:absoluteAnchor>
    <xdr:pos x="38100" y="3587750"/>
    <xdr:ext cx="8153019" cy="641350"/>
    <xdr:sp macro="" textlink="">
      <xdr:nvSpPr>
        <xdr:cNvPr id="3" name="Footer" descr="Background">
          <a:extLst>
            <a:ext uri="{FF2B5EF4-FFF2-40B4-BE49-F238E27FC236}">
              <a16:creationId xmlns:a16="http://schemas.microsoft.com/office/drawing/2014/main" id="{00000000-0008-0000-0C00-000003000000}"/>
            </a:ext>
          </a:extLst>
        </xdr:cNvPr>
        <xdr:cNvSpPr txBox="1"/>
      </xdr:nvSpPr>
      <xdr:spPr>
        <a:xfrm>
          <a:off x="38100" y="3587750"/>
          <a:ext cx="815301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93751" y="3742326"/>
    <xdr:ext cx="1267333"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C00-000004000000}"/>
            </a:ext>
          </a:extLst>
        </xdr:cNvPr>
        <xdr:cNvSpPr/>
      </xdr:nvSpPr>
      <xdr:spPr>
        <a:xfrm>
          <a:off x="6393751" y="3742326"/>
          <a:ext cx="126733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68134" y="3742326"/>
    <xdr:ext cx="1273683"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C00-000005000000}"/>
            </a:ext>
          </a:extLst>
        </xdr:cNvPr>
        <xdr:cNvSpPr/>
      </xdr:nvSpPr>
      <xdr:spPr>
        <a:xfrm flipH="1">
          <a:off x="568134"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3933826" y="1009672"/>
    <xdr:ext cx="3362785" cy="615935"/>
    <xdr:grpSp>
      <xdr:nvGrpSpPr>
        <xdr:cNvPr id="6" name="Tip Text Group 3" descr="Tip text &quot;A more sophisticated PivotTable&quot; bracketing PivotTable fields Sum of Amount and Buyer">
          <a:extLst>
            <a:ext uri="{FF2B5EF4-FFF2-40B4-BE49-F238E27FC236}">
              <a16:creationId xmlns:a16="http://schemas.microsoft.com/office/drawing/2014/main" id="{00000000-0008-0000-0C00-000006000000}"/>
            </a:ext>
          </a:extLst>
        </xdr:cNvPr>
        <xdr:cNvGrpSpPr/>
      </xdr:nvGrpSpPr>
      <xdr:grpSpPr>
        <a:xfrm>
          <a:off x="3933826" y="1009672"/>
          <a:ext cx="3362785" cy="615935"/>
          <a:chOff x="3933826" y="1009672"/>
          <a:chExt cx="3381835" cy="615935"/>
        </a:xfrm>
      </xdr:grpSpPr>
      <xdr:sp macro="" textlink="">
        <xdr:nvSpPr>
          <xdr:cNvPr id="7" name="Tip Text 3" descr="Tip text &quot;A more sophisticated PivotTable&quot;">
            <a:extLst>
              <a:ext uri="{FF2B5EF4-FFF2-40B4-BE49-F238E27FC236}">
                <a16:creationId xmlns:a16="http://schemas.microsoft.com/office/drawing/2014/main" id="{00000000-0008-0000-0C00-000007000000}"/>
              </a:ext>
            </a:extLst>
          </xdr:cNvPr>
          <xdr:cNvSpPr txBox="1">
            <a:spLocks noChangeArrowheads="1"/>
          </xdr:cNvSpPr>
        </xdr:nvSpPr>
        <xdr:spPr bwMode="auto">
          <a:xfrm>
            <a:off x="4124324" y="1009672"/>
            <a:ext cx="31115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 more sophisticated PivotTable</a:t>
            </a:r>
          </a:p>
        </xdr:txBody>
      </xdr:sp>
      <xdr:sp macro="" textlink="">
        <xdr:nvSpPr>
          <xdr:cNvPr id="8" name="Bracket 3" descr="Bracket">
            <a:extLst>
              <a:ext uri="{FF2B5EF4-FFF2-40B4-BE49-F238E27FC236}">
                <a16:creationId xmlns:a16="http://schemas.microsoft.com/office/drawing/2014/main" id="{00000000-0008-0000-0C00-000008000000}"/>
              </a:ext>
            </a:extLst>
          </xdr:cNvPr>
          <xdr:cNvSpPr/>
        </xdr:nvSpPr>
        <xdr:spPr>
          <a:xfrm rot="5400000">
            <a:off x="5513616" y="-176439"/>
            <a:ext cx="222256" cy="338183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absoluteAnchor>
  <xdr:absoluteAnchor>
    <xdr:pos x="3451670" y="4055650"/>
    <xdr:ext cx="1227455" cy="182880"/>
    <xdr:sp macro="" textlink="">
      <xdr:nvSpPr>
        <xdr:cNvPr id="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C00-000009000000}"/>
            </a:ext>
          </a:extLst>
        </xdr:cNvPr>
        <xdr:cNvSpPr/>
      </xdr:nvSpPr>
      <xdr:spPr>
        <a:xfrm>
          <a:off x="3451670" y="4055650"/>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6.xml><?xml version="1.0" encoding="utf-8"?>
<xdr:wsDr xmlns:xdr="http://schemas.openxmlformats.org/drawingml/2006/spreadsheetDrawing" xmlns:a="http://schemas.openxmlformats.org/drawingml/2006/main">
  <xdr:absoluteAnchor>
    <xdr:pos x="0" y="0"/>
    <xdr:ext cx="8156194" cy="770128"/>
    <xdr:sp macro="" textlink="">
      <xdr:nvSpPr>
        <xdr:cNvPr id="2" name="Header" descr="There are also PivotCharts, which are a more visual way to summarize and make sense of the data. We won't be covering these, but for now, just know that they're possible to do">
          <a:extLst>
            <a:ext uri="{FF2B5EF4-FFF2-40B4-BE49-F238E27FC236}">
              <a16:creationId xmlns:a16="http://schemas.microsoft.com/office/drawing/2014/main" id="{00000000-0008-0000-0D00-000002000000}"/>
            </a:ext>
          </a:extLst>
        </xdr:cNvPr>
        <xdr:cNvSpPr txBox="1"/>
      </xdr:nvSpPr>
      <xdr:spPr>
        <a:xfrm>
          <a:off x="0" y="0"/>
          <a:ext cx="815619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There are also PivotCharts</a:t>
          </a:r>
          <a:r>
            <a:rPr kumimoji="0" lang="en-US"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which are a more visual way to summarize and make sense of the data. We won't be covering these, but for now, just know that they're possible to do.</a:t>
          </a:r>
        </a:p>
      </xdr:txBody>
    </xdr:sp>
    <xdr:clientData/>
  </xdr:absoluteAnchor>
  <xdr:absoluteAnchor>
    <xdr:pos x="0" y="3594100"/>
    <xdr:ext cx="8156194" cy="641350"/>
    <xdr:sp macro="" textlink="">
      <xdr:nvSpPr>
        <xdr:cNvPr id="3" name="Footer" descr="Background">
          <a:extLst>
            <a:ext uri="{FF2B5EF4-FFF2-40B4-BE49-F238E27FC236}">
              <a16:creationId xmlns:a16="http://schemas.microsoft.com/office/drawing/2014/main" id="{00000000-0008-0000-0D00-000003000000}"/>
            </a:ext>
          </a:extLst>
        </xdr:cNvPr>
        <xdr:cNvSpPr txBox="1"/>
      </xdr:nvSpPr>
      <xdr:spPr>
        <a:xfrm>
          <a:off x="0" y="3594100"/>
          <a:ext cx="81561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53556" y="3742326"/>
    <xdr:ext cx="1271016"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D00-000004000000}"/>
            </a:ext>
          </a:extLst>
        </xdr:cNvPr>
        <xdr:cNvSpPr/>
      </xdr:nvSpPr>
      <xdr:spPr>
        <a:xfrm>
          <a:off x="635355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31622" y="3742326"/>
    <xdr:ext cx="1273683"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D00-000005000000}"/>
            </a:ext>
          </a:extLst>
        </xdr:cNvPr>
        <xdr:cNvSpPr/>
      </xdr:nvSpPr>
      <xdr:spPr>
        <a:xfrm flipH="1">
          <a:off x="5316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3749674" y="981098"/>
    <xdr:ext cx="3661237" cy="644509"/>
    <xdr:grpSp>
      <xdr:nvGrpSpPr>
        <xdr:cNvPr id="6" name="Tip Text Group 4" descr="Tip text &quot;This PivotChart summarizes and visualizes the data&quot; bracketing a PivotChart and the PivotChart data behind it">
          <a:extLst>
            <a:ext uri="{FF2B5EF4-FFF2-40B4-BE49-F238E27FC236}">
              <a16:creationId xmlns:a16="http://schemas.microsoft.com/office/drawing/2014/main" id="{00000000-0008-0000-0D00-000006000000}"/>
            </a:ext>
          </a:extLst>
        </xdr:cNvPr>
        <xdr:cNvGrpSpPr/>
      </xdr:nvGrpSpPr>
      <xdr:grpSpPr>
        <a:xfrm>
          <a:off x="3749674" y="981098"/>
          <a:ext cx="3661237" cy="644509"/>
          <a:chOff x="3749674" y="981955"/>
          <a:chExt cx="3661237" cy="643652"/>
        </a:xfrm>
      </xdr:grpSpPr>
      <xdr:sp macro="" textlink="">
        <xdr:nvSpPr>
          <xdr:cNvPr id="7" name="Tip Text 4" descr="Tip text &quot;This PivotChart summarizes and visualizes the data&quot;&#10;&#10;">
            <a:extLst>
              <a:ext uri="{FF2B5EF4-FFF2-40B4-BE49-F238E27FC236}">
                <a16:creationId xmlns:a16="http://schemas.microsoft.com/office/drawing/2014/main" id="{00000000-0008-0000-0D00-000007000000}"/>
              </a:ext>
            </a:extLst>
          </xdr:cNvPr>
          <xdr:cNvSpPr txBox="1">
            <a:spLocks noChangeArrowheads="1"/>
          </xdr:cNvSpPr>
        </xdr:nvSpPr>
        <xdr:spPr bwMode="auto">
          <a:xfrm>
            <a:off x="3847077" y="981955"/>
            <a:ext cx="3466434"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PivotChart summarizes and visualizes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8" name="Bracket 4" descr="Bracket">
            <a:extLst>
              <a:ext uri="{FF2B5EF4-FFF2-40B4-BE49-F238E27FC236}">
                <a16:creationId xmlns:a16="http://schemas.microsoft.com/office/drawing/2014/main" id="{00000000-0008-0000-0D00-000008000000}"/>
              </a:ext>
            </a:extLst>
          </xdr:cNvPr>
          <xdr:cNvSpPr/>
        </xdr:nvSpPr>
        <xdr:spPr>
          <a:xfrm rot="5400000">
            <a:off x="5469165" y="-316140"/>
            <a:ext cx="222256" cy="366123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absoluteAnchor>
  <xdr:absoluteAnchor>
    <xdr:pos x="3632200" y="1631950"/>
    <xdr:ext cx="3930650" cy="1778000"/>
    <xdr:graphicFrame macro="">
      <xdr:nvGraphicFramePr>
        <xdr:cNvPr id="9" name="PivotChartExample" descr="PivotChart summarizing and visualizing data from Expenses3 table">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51670" y="4055650"/>
    <xdr:ext cx="1227455" cy="182880"/>
    <xdr:sp macro="" textlink="">
      <xdr:nvSpPr>
        <xdr:cNvPr id="10"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D00-00000A000000}"/>
            </a:ext>
          </a:extLst>
        </xdr:cNvPr>
        <xdr:cNvSpPr/>
      </xdr:nvSpPr>
      <xdr:spPr>
        <a:xfrm>
          <a:off x="3451670" y="4055650"/>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7.xml><?xml version="1.0" encoding="utf-8"?>
<xdr:wsDr xmlns:xdr="http://schemas.openxmlformats.org/drawingml/2006/spreadsheetDrawing" xmlns:a="http://schemas.openxmlformats.org/drawingml/2006/main">
  <xdr:absoluteAnchor>
    <xdr:pos x="0" y="0"/>
    <xdr:ext cx="8146669" cy="770128"/>
    <xdr:sp macro="" textlink="">
      <xdr:nvSpPr>
        <xdr:cNvPr id="2" name="Header" descr="But let's back up. The first step to making a good PivotTable is to make sure the data is in good shape. So, make sure you do the following before you make one: &#10;">
          <a:extLst>
            <a:ext uri="{FF2B5EF4-FFF2-40B4-BE49-F238E27FC236}">
              <a16:creationId xmlns:a16="http://schemas.microsoft.com/office/drawing/2014/main" id="{00000000-0008-0000-0E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But let's back up.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first step to making a good PivotTable is to make sure the data is in good shape. So, make sure you do the following before you make one: </a:t>
          </a:r>
        </a:p>
      </xdr:txBody>
    </xdr:sp>
    <xdr:clientData/>
  </xdr:absoluteAnchor>
  <xdr:absoluteAnchor>
    <xdr:pos x="0" y="3594100"/>
    <xdr:ext cx="8146669" cy="641350"/>
    <xdr:sp macro="" textlink="">
      <xdr:nvSpPr>
        <xdr:cNvPr id="3" name="Footer" descr="Background">
          <a:extLst>
            <a:ext uri="{FF2B5EF4-FFF2-40B4-BE49-F238E27FC236}">
              <a16:creationId xmlns:a16="http://schemas.microsoft.com/office/drawing/2014/main" id="{00000000-0008-0000-0E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6126" y="3742326"/>
    <xdr:ext cx="1271016"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E00-000004000000}"/>
            </a:ext>
          </a:extLst>
        </xdr:cNvPr>
        <xdr:cNvSpPr/>
      </xdr:nvSpPr>
      <xdr:spPr>
        <a:xfrm>
          <a:off x="634612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26859" y="3742326"/>
    <xdr:ext cx="1273683"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E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660399" y="1006497"/>
    <xdr:ext cx="2562225" cy="619109"/>
    <xdr:grpSp>
      <xdr:nvGrpSpPr>
        <xdr:cNvPr id="6" name="Tip Text Group 5" descr="Tip text &quot;Name your columns&quot; bracketing Expenses4 table columns Date, Buyer, Type, and Amount">
          <a:extLst>
            <a:ext uri="{FF2B5EF4-FFF2-40B4-BE49-F238E27FC236}">
              <a16:creationId xmlns:a16="http://schemas.microsoft.com/office/drawing/2014/main" id="{00000000-0008-0000-0E00-000006000000}"/>
            </a:ext>
          </a:extLst>
        </xdr:cNvPr>
        <xdr:cNvGrpSpPr/>
      </xdr:nvGrpSpPr>
      <xdr:grpSpPr>
        <a:xfrm>
          <a:off x="660399" y="1006497"/>
          <a:ext cx="2562225" cy="619109"/>
          <a:chOff x="660399" y="1006497"/>
          <a:chExt cx="2562225" cy="619109"/>
        </a:xfrm>
      </xdr:grpSpPr>
      <xdr:sp macro="" textlink="">
        <xdr:nvSpPr>
          <xdr:cNvPr id="7" name="Bracket 5" descr="Bracket">
            <a:extLst>
              <a:ext uri="{FF2B5EF4-FFF2-40B4-BE49-F238E27FC236}">
                <a16:creationId xmlns:a16="http://schemas.microsoft.com/office/drawing/2014/main" id="{00000000-0008-0000-0E00-000007000000}"/>
              </a:ext>
            </a:extLst>
          </xdr:cNvPr>
          <xdr:cNvSpPr/>
        </xdr:nvSpPr>
        <xdr:spPr>
          <a:xfrm rot="5400000">
            <a:off x="1830384" y="233365"/>
            <a:ext cx="222256" cy="2562225"/>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5" descr="Tip text &quot;Name your columns&quot;">
            <a:extLst>
              <a:ext uri="{FF2B5EF4-FFF2-40B4-BE49-F238E27FC236}">
                <a16:creationId xmlns:a16="http://schemas.microsoft.com/office/drawing/2014/main" id="{00000000-0008-0000-0E00-000008000000}"/>
              </a:ext>
            </a:extLst>
          </xdr:cNvPr>
          <xdr:cNvSpPr txBox="1">
            <a:spLocks noChangeArrowheads="1"/>
          </xdr:cNvSpPr>
        </xdr:nvSpPr>
        <xdr:spPr bwMode="auto">
          <a:xfrm>
            <a:off x="1031878" y="1006497"/>
            <a:ext cx="1819270"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Name your columns.</a:t>
            </a:r>
          </a:p>
        </xdr:txBody>
      </xdr:sp>
    </xdr:grpSp>
    <xdr:clientData/>
  </xdr:absoluteAnchor>
  <xdr:absoluteAnchor>
    <xdr:pos x="3368672" y="1666880"/>
    <xdr:ext cx="2581278" cy="1460495"/>
    <xdr:grpSp>
      <xdr:nvGrpSpPr>
        <xdr:cNvPr id="9" name="Tip Text Group 6" descr="Tip text &quot;And make sure there are no duplicate rows, or blank cells&quot; bracketing all Expenses4 table rows">
          <a:extLst>
            <a:ext uri="{FF2B5EF4-FFF2-40B4-BE49-F238E27FC236}">
              <a16:creationId xmlns:a16="http://schemas.microsoft.com/office/drawing/2014/main" id="{00000000-0008-0000-0E00-000009000000}"/>
            </a:ext>
          </a:extLst>
        </xdr:cNvPr>
        <xdr:cNvGrpSpPr/>
      </xdr:nvGrpSpPr>
      <xdr:grpSpPr>
        <a:xfrm>
          <a:off x="3368672" y="1666880"/>
          <a:ext cx="2581278" cy="1460495"/>
          <a:chOff x="3368672" y="1666880"/>
          <a:chExt cx="2581278" cy="1460495"/>
        </a:xfrm>
      </xdr:grpSpPr>
      <xdr:sp macro="" textlink="">
        <xdr:nvSpPr>
          <xdr:cNvPr id="10" name="Tip Text 6" descr="Tip text &quot;And make sure there are no duplicate rows, or blank cells&quot;&#10;&#10;">
            <a:extLst>
              <a:ext uri="{FF2B5EF4-FFF2-40B4-BE49-F238E27FC236}">
                <a16:creationId xmlns:a16="http://schemas.microsoft.com/office/drawing/2014/main" id="{00000000-0008-0000-0E00-00000A000000}"/>
              </a:ext>
            </a:extLst>
          </xdr:cNvPr>
          <xdr:cNvSpPr txBox="1">
            <a:spLocks noChangeArrowheads="1"/>
          </xdr:cNvSpPr>
        </xdr:nvSpPr>
        <xdr:spPr bwMode="auto">
          <a:xfrm>
            <a:off x="3765552" y="2073297"/>
            <a:ext cx="2184398" cy="63815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make sure there are no duplicate rows, or blank cells.</a:t>
            </a:r>
          </a:p>
        </xdr:txBody>
      </xdr:sp>
      <xdr:sp macro="" textlink="">
        <xdr:nvSpPr>
          <xdr:cNvPr id="11" name="Bracket 6" descr="Bracket">
            <a:extLst>
              <a:ext uri="{FF2B5EF4-FFF2-40B4-BE49-F238E27FC236}">
                <a16:creationId xmlns:a16="http://schemas.microsoft.com/office/drawing/2014/main" id="{00000000-0008-0000-0E00-00000B000000}"/>
              </a:ext>
            </a:extLst>
          </xdr:cNvPr>
          <xdr:cNvSpPr/>
        </xdr:nvSpPr>
        <xdr:spPr>
          <a:xfrm rot="10800000">
            <a:off x="3368672" y="1666880"/>
            <a:ext cx="228606" cy="146049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absoluteAnchor>
  <xdr:absoluteAnchor>
    <xdr:pos x="3451670" y="4055650"/>
    <xdr:ext cx="1259205" cy="182880"/>
    <xdr:sp macro="" textlink="">
      <xdr:nvSpPr>
        <xdr:cNvPr id="12"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E00-00000C000000}"/>
            </a:ext>
          </a:extLst>
        </xdr:cNvPr>
        <xdr:cNvSpPr/>
      </xdr:nvSpPr>
      <xdr:spPr>
        <a:xfrm>
          <a:off x="3451670" y="4055650"/>
          <a:ext cx="125920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8.xml><?xml version="1.0" encoding="utf-8"?>
<xdr:wsDr xmlns:xdr="http://schemas.openxmlformats.org/drawingml/2006/spreadsheetDrawing" xmlns:a="http://schemas.openxmlformats.org/drawingml/2006/main">
  <xdr:absoluteAnchor>
    <xdr:pos x="0" y="0"/>
    <xdr:ext cx="8146669" cy="770128"/>
    <xdr:sp macro="" textlink="">
      <xdr:nvSpPr>
        <xdr:cNvPr id="2" name="Header" descr="Something to keep in mind: Lots of people use the word column. But to a PivotTable, a column is a field. Try to remember this as you progress with the tutorial&#10;">
          <a:extLst>
            <a:ext uri="{FF2B5EF4-FFF2-40B4-BE49-F238E27FC236}">
              <a16:creationId xmlns:a16="http://schemas.microsoft.com/office/drawing/2014/main" id="{00000000-0008-0000-0F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Something to keep in mind: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Lots of people use the word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column.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to a PivotTable, a column is a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Try to remember this as you progress with the tutorial.</a:t>
          </a:r>
        </a:p>
      </xdr:txBody>
    </xdr:sp>
    <xdr:clientData/>
  </xdr:absoluteAnchor>
  <xdr:absoluteAnchor>
    <xdr:pos x="0" y="3594100"/>
    <xdr:ext cx="8146669" cy="641350"/>
    <xdr:sp macro="" textlink="">
      <xdr:nvSpPr>
        <xdr:cNvPr id="3" name="Footer" descr="Background">
          <a:extLst>
            <a:ext uri="{FF2B5EF4-FFF2-40B4-BE49-F238E27FC236}">
              <a16:creationId xmlns:a16="http://schemas.microsoft.com/office/drawing/2014/main" id="{00000000-0008-0000-0F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36792" y="3742326"/>
    <xdr:ext cx="1271016"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F00-000004000000}"/>
            </a:ext>
          </a:extLst>
        </xdr:cNvPr>
        <xdr:cNvSpPr/>
      </xdr:nvSpPr>
      <xdr:spPr>
        <a:xfrm>
          <a:off x="6336792"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absoluteAnchor>
  <xdr:absoluteAnchor>
    <xdr:pos x="523875" y="3742326"/>
    <xdr:ext cx="1270508"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F00-000005000000}"/>
            </a:ext>
          </a:extLst>
        </xdr:cNvPr>
        <xdr:cNvSpPr/>
      </xdr:nvSpPr>
      <xdr:spPr>
        <a:xfrm flipH="1">
          <a:off x="523875"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absoluteAnchor>
  <xdr:absoluteAnchor>
    <xdr:pos x="665506" y="1123950"/>
    <xdr:ext cx="548914" cy="534640"/>
    <xdr:grpSp>
      <xdr:nvGrpSpPr>
        <xdr:cNvPr id="6" name="Tip Text Group 7" descr="Tip text &quot;Field&quot; bracketing Date column of Expenses5 table">
          <a:extLst>
            <a:ext uri="{FF2B5EF4-FFF2-40B4-BE49-F238E27FC236}">
              <a16:creationId xmlns:a16="http://schemas.microsoft.com/office/drawing/2014/main" id="{00000000-0008-0000-0F00-000006000000}"/>
            </a:ext>
          </a:extLst>
        </xdr:cNvPr>
        <xdr:cNvGrpSpPr/>
      </xdr:nvGrpSpPr>
      <xdr:grpSpPr>
        <a:xfrm>
          <a:off x="665506" y="1123950"/>
          <a:ext cx="548914" cy="534640"/>
          <a:chOff x="665506" y="1123950"/>
          <a:chExt cx="548914" cy="534640"/>
        </a:xfrm>
      </xdr:grpSpPr>
      <xdr:sp macro="" textlink="">
        <xdr:nvSpPr>
          <xdr:cNvPr id="7" name="Bracket 7" descr="Bracket">
            <a:extLst>
              <a:ext uri="{FF2B5EF4-FFF2-40B4-BE49-F238E27FC236}">
                <a16:creationId xmlns:a16="http://schemas.microsoft.com/office/drawing/2014/main" id="{00000000-0008-0000-0F00-000007000000}"/>
              </a:ext>
            </a:extLst>
          </xdr:cNvPr>
          <xdr:cNvSpPr/>
        </xdr:nvSpPr>
        <xdr:spPr>
          <a:xfrm rot="5400000">
            <a:off x="833801" y="1284189"/>
            <a:ext cx="206106" cy="542696"/>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7" descr="Tip text &quot;Field&quot;&#10;">
            <a:extLst>
              <a:ext uri="{FF2B5EF4-FFF2-40B4-BE49-F238E27FC236}">
                <a16:creationId xmlns:a16="http://schemas.microsoft.com/office/drawing/2014/main" id="{00000000-0008-0000-0F00-000008000000}"/>
              </a:ext>
            </a:extLst>
          </xdr:cNvPr>
          <xdr:cNvSpPr txBox="1">
            <a:spLocks noChangeArrowheads="1"/>
          </xdr:cNvSpPr>
        </xdr:nvSpPr>
        <xdr:spPr bwMode="auto">
          <a:xfrm>
            <a:off x="665780" y="1123950"/>
            <a:ext cx="548640" cy="28252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absoluteAnchor>
  <xdr:absoluteAnchor>
    <xdr:pos x="1238328" y="1124568"/>
    <xdr:ext cx="692147" cy="533402"/>
    <xdr:grpSp>
      <xdr:nvGrpSpPr>
        <xdr:cNvPr id="9" name="Tip Text Group 8" descr="Tip text &quot;Field&quot; bracketing Buyer column of Expenses5 table">
          <a:extLst>
            <a:ext uri="{FF2B5EF4-FFF2-40B4-BE49-F238E27FC236}">
              <a16:creationId xmlns:a16="http://schemas.microsoft.com/office/drawing/2014/main" id="{00000000-0008-0000-0F00-000009000000}"/>
            </a:ext>
          </a:extLst>
        </xdr:cNvPr>
        <xdr:cNvGrpSpPr/>
      </xdr:nvGrpSpPr>
      <xdr:grpSpPr>
        <a:xfrm>
          <a:off x="1238328" y="1124568"/>
          <a:ext cx="692147" cy="533402"/>
          <a:chOff x="1238328" y="1124568"/>
          <a:chExt cx="692147" cy="533402"/>
        </a:xfrm>
      </xdr:grpSpPr>
      <xdr:sp macro="" textlink="">
        <xdr:nvSpPr>
          <xdr:cNvPr id="10" name="Bracket 8" descr="Bracket">
            <a:extLst>
              <a:ext uri="{FF2B5EF4-FFF2-40B4-BE49-F238E27FC236}">
                <a16:creationId xmlns:a16="http://schemas.microsoft.com/office/drawing/2014/main" id="{00000000-0008-0000-0F00-00000A000000}"/>
              </a:ext>
            </a:extLst>
          </xdr:cNvPr>
          <xdr:cNvSpPr/>
        </xdr:nvSpPr>
        <xdr:spPr>
          <a:xfrm rot="5400000">
            <a:off x="1475151" y="1202646"/>
            <a:ext cx="218501" cy="6921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Tip Text 8" descr="Tip text &quot;Field&quot;&#10;">
            <a:extLst>
              <a:ext uri="{FF2B5EF4-FFF2-40B4-BE49-F238E27FC236}">
                <a16:creationId xmlns:a16="http://schemas.microsoft.com/office/drawing/2014/main" id="{00000000-0008-0000-0F00-00000B000000}"/>
              </a:ext>
            </a:extLst>
          </xdr:cNvPr>
          <xdr:cNvSpPr txBox="1">
            <a:spLocks noChangeArrowheads="1"/>
          </xdr:cNvSpPr>
        </xdr:nvSpPr>
        <xdr:spPr bwMode="auto">
          <a:xfrm>
            <a:off x="1320939"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absoluteAnchor>
  <xdr:absoluteAnchor>
    <xdr:pos x="1960601" y="1124568"/>
    <xdr:ext cx="628647" cy="533402"/>
    <xdr:grpSp>
      <xdr:nvGrpSpPr>
        <xdr:cNvPr id="12" name="Tip Text Group 9" descr="Tip text &quot;Field&quot; bracketing Type column of Expenses5 table">
          <a:extLst>
            <a:ext uri="{FF2B5EF4-FFF2-40B4-BE49-F238E27FC236}">
              <a16:creationId xmlns:a16="http://schemas.microsoft.com/office/drawing/2014/main" id="{00000000-0008-0000-0F00-00000C000000}"/>
            </a:ext>
          </a:extLst>
        </xdr:cNvPr>
        <xdr:cNvGrpSpPr/>
      </xdr:nvGrpSpPr>
      <xdr:grpSpPr>
        <a:xfrm>
          <a:off x="1960601" y="1124568"/>
          <a:ext cx="628647" cy="533402"/>
          <a:chOff x="1960601" y="1124568"/>
          <a:chExt cx="628647" cy="533402"/>
        </a:xfrm>
      </xdr:grpSpPr>
      <xdr:sp macro="" textlink="">
        <xdr:nvSpPr>
          <xdr:cNvPr id="13" name="Bracket 9" descr="Bracket">
            <a:extLst>
              <a:ext uri="{FF2B5EF4-FFF2-40B4-BE49-F238E27FC236}">
                <a16:creationId xmlns:a16="http://schemas.microsoft.com/office/drawing/2014/main" id="{00000000-0008-0000-0F00-00000D000000}"/>
              </a:ext>
            </a:extLst>
          </xdr:cNvPr>
          <xdr:cNvSpPr/>
        </xdr:nvSpPr>
        <xdr:spPr>
          <a:xfrm rot="5400000">
            <a:off x="2165674" y="1234396"/>
            <a:ext cx="218501" cy="6286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Tip Text 9" descr="Tip text &quot;Field&quot;&#10;">
            <a:extLst>
              <a:ext uri="{FF2B5EF4-FFF2-40B4-BE49-F238E27FC236}">
                <a16:creationId xmlns:a16="http://schemas.microsoft.com/office/drawing/2014/main" id="{00000000-0008-0000-0F00-00000E000000}"/>
              </a:ext>
            </a:extLst>
          </xdr:cNvPr>
          <xdr:cNvSpPr txBox="1">
            <a:spLocks noChangeArrowheads="1"/>
          </xdr:cNvSpPr>
        </xdr:nvSpPr>
        <xdr:spPr bwMode="auto">
          <a:xfrm>
            <a:off x="2024097"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absoluteAnchor>
  <xdr:absoluteAnchor>
    <xdr:pos x="2619376" y="1124568"/>
    <xdr:ext cx="600072" cy="533402"/>
    <xdr:grpSp>
      <xdr:nvGrpSpPr>
        <xdr:cNvPr id="15" name="Tip Text Group 10" descr="Tip text &quot;Field&quot; bracketing Amount column of Expenses5 table">
          <a:extLst>
            <a:ext uri="{FF2B5EF4-FFF2-40B4-BE49-F238E27FC236}">
              <a16:creationId xmlns:a16="http://schemas.microsoft.com/office/drawing/2014/main" id="{00000000-0008-0000-0F00-00000F000000}"/>
            </a:ext>
          </a:extLst>
        </xdr:cNvPr>
        <xdr:cNvGrpSpPr/>
      </xdr:nvGrpSpPr>
      <xdr:grpSpPr>
        <a:xfrm>
          <a:off x="2619376" y="1124568"/>
          <a:ext cx="600072" cy="533402"/>
          <a:chOff x="2619376" y="1124568"/>
          <a:chExt cx="600072" cy="533402"/>
        </a:xfrm>
      </xdr:grpSpPr>
      <xdr:sp macro="" textlink="">
        <xdr:nvSpPr>
          <xdr:cNvPr id="16" name="Bracket 10" descr="Bracket">
            <a:extLst>
              <a:ext uri="{FF2B5EF4-FFF2-40B4-BE49-F238E27FC236}">
                <a16:creationId xmlns:a16="http://schemas.microsoft.com/office/drawing/2014/main" id="{00000000-0008-0000-0F00-000010000000}"/>
              </a:ext>
            </a:extLst>
          </xdr:cNvPr>
          <xdr:cNvSpPr/>
        </xdr:nvSpPr>
        <xdr:spPr>
          <a:xfrm rot="5400000">
            <a:off x="2810161" y="1248684"/>
            <a:ext cx="218501" cy="60007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Tip Text 10" descr="Tip text &quot;Field&quot;&#10;">
            <a:extLst>
              <a:ext uri="{FF2B5EF4-FFF2-40B4-BE49-F238E27FC236}">
                <a16:creationId xmlns:a16="http://schemas.microsoft.com/office/drawing/2014/main" id="{00000000-0008-0000-0F00-000011000000}"/>
              </a:ext>
            </a:extLst>
          </xdr:cNvPr>
          <xdr:cNvSpPr txBox="1">
            <a:spLocks noChangeArrowheads="1"/>
          </xdr:cNvSpPr>
        </xdr:nvSpPr>
        <xdr:spPr bwMode="auto">
          <a:xfrm>
            <a:off x="2654585"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absoluteAnchor>
  <xdr:absoluteAnchor>
    <xdr:pos x="4048125" y="1298575"/>
    <xdr:ext cx="3200400" cy="1828800"/>
    <xdr:grpSp>
      <xdr:nvGrpSpPr>
        <xdr:cNvPr id="18" name="Tip Text Group 11" descr="Owl image&#10;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F00-000012000000}"/>
            </a:ext>
          </a:extLst>
        </xdr:cNvPr>
        <xdr:cNvGrpSpPr/>
      </xdr:nvGrpSpPr>
      <xdr:grpSpPr>
        <a:xfrm>
          <a:off x="4048125" y="1298575"/>
          <a:ext cx="3200400" cy="1828800"/>
          <a:chOff x="4048125" y="1298575"/>
          <a:chExt cx="3200400" cy="1828800"/>
        </a:xfrm>
      </xdr:grpSpPr>
      <xdr:sp macro="" textlink="">
        <xdr:nvSpPr>
          <xdr:cNvPr id="19" name="Tip text 11" descr="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F00-000013000000}"/>
              </a:ext>
            </a:extLst>
          </xdr:cNvPr>
          <xdr:cNvSpPr txBox="1"/>
        </xdr:nvSpPr>
        <xdr:spPr>
          <a:xfrm>
            <a:off x="4410887" y="1298575"/>
            <a:ext cx="2837638" cy="182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Why the word "field"? It's just a traditional term used when working with data and database applications.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PivotTable menus and buttons use the word "field" a lot. So if you get used to it now, it will make things easier as you make PivotTables. </a:t>
            </a:r>
          </a:p>
        </xdr:txBody>
      </xdr:sp>
      <xdr:pic>
        <xdr:nvPicPr>
          <xdr:cNvPr id="20" name="Owl" descr="Owl">
            <a:extLst>
              <a:ext uri="{FF2B5EF4-FFF2-40B4-BE49-F238E27FC236}">
                <a16:creationId xmlns:a16="http://schemas.microsoft.com/office/drawing/2014/main" id="{00000000-0008-0000-0F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48125" y="1348440"/>
            <a:ext cx="425661" cy="444646"/>
          </a:xfrm>
          <a:prstGeom prst="rect">
            <a:avLst/>
          </a:prstGeom>
        </xdr:spPr>
      </xdr:pic>
    </xdr:grpSp>
    <xdr:clientData/>
  </xdr:absoluteAnchor>
  <xdr:absoluteAnchor>
    <xdr:pos x="3451670" y="4055650"/>
    <xdr:ext cx="1259205" cy="182880"/>
    <xdr:sp macro="" textlink="">
      <xdr:nvSpPr>
        <xdr:cNvPr id="21" name="Feedback" descr="Feedback button, hyperlinked to web form">
          <a:hlinkClick xmlns:r="http://schemas.openxmlformats.org/officeDocument/2006/relationships" r:id="rId5" tooltip="Select to give feedback"/>
          <a:extLst>
            <a:ext uri="{FF2B5EF4-FFF2-40B4-BE49-F238E27FC236}">
              <a16:creationId xmlns:a16="http://schemas.microsoft.com/office/drawing/2014/main" id="{00000000-0008-0000-0F00-000015000000}"/>
            </a:ext>
          </a:extLst>
        </xdr:cNvPr>
        <xdr:cNvSpPr/>
      </xdr:nvSpPr>
      <xdr:spPr>
        <a:xfrm>
          <a:off x="3451670" y="4055650"/>
          <a:ext cx="125920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9.xml><?xml version="1.0" encoding="utf-8"?>
<xdr:wsDr xmlns:xdr="http://schemas.openxmlformats.org/drawingml/2006/spreadsheetDrawing" xmlns:a="http://schemas.openxmlformats.org/drawingml/2006/main">
  <xdr:absoluteAnchor>
    <xdr:pos x="0" y="0"/>
    <xdr:ext cx="8146669" cy="770128"/>
    <xdr:sp macro="" textlink="">
      <xdr:nvSpPr>
        <xdr:cNvPr id="2" name="Header" descr="Let's focus on one of the fields. One of the fields below, the Amount field, is probably the most important. Wouldn't it be great if it was summed up?&#10;">
          <a:extLst>
            <a:ext uri="{FF2B5EF4-FFF2-40B4-BE49-F238E27FC236}">
              <a16:creationId xmlns:a16="http://schemas.microsoft.com/office/drawing/2014/main" id="{00000000-0008-0000-10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Let's focus on one of the fields.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One of the fields below,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is probably the most important. Wouldn't it be great if it was summed up?</a:t>
          </a:r>
        </a:p>
      </xdr:txBody>
    </xdr:sp>
    <xdr:clientData/>
  </xdr:absoluteAnchor>
  <xdr:absoluteAnchor>
    <xdr:pos x="0" y="3594100"/>
    <xdr:ext cx="8146669" cy="641350"/>
    <xdr:sp macro="" textlink="">
      <xdr:nvSpPr>
        <xdr:cNvPr id="3" name="Footer" descr="Background">
          <a:extLst>
            <a:ext uri="{FF2B5EF4-FFF2-40B4-BE49-F238E27FC236}">
              <a16:creationId xmlns:a16="http://schemas.microsoft.com/office/drawing/2014/main" id="{00000000-0008-0000-10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36601" y="3742326"/>
    <xdr:ext cx="1271016"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000-000004000000}"/>
            </a:ext>
          </a:extLst>
        </xdr:cNvPr>
        <xdr:cNvSpPr/>
      </xdr:nvSpPr>
      <xdr:spPr>
        <a:xfrm>
          <a:off x="633660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absoluteAnchor>
  <xdr:absoluteAnchor>
    <xdr:pos x="526859" y="3742326"/>
    <xdr:ext cx="1270508"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000-000005000000}"/>
            </a:ext>
          </a:extLst>
        </xdr:cNvPr>
        <xdr:cNvSpPr/>
      </xdr:nvSpPr>
      <xdr:spPr>
        <a:xfrm flipH="1">
          <a:off x="526859"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absoluteAnchor>
  <xdr:absoluteAnchor>
    <xdr:pos x="2917825" y="1079500"/>
    <xdr:ext cx="2825751" cy="817230"/>
    <xdr:grpSp>
      <xdr:nvGrpSpPr>
        <xdr:cNvPr id="6" name="Tip Text Group 12" descr="Tip text &quot;This field should be summed up&quot; with an arc'd arrow pointing to the Amount field of Expenses6 table">
          <a:extLst>
            <a:ext uri="{FF2B5EF4-FFF2-40B4-BE49-F238E27FC236}">
              <a16:creationId xmlns:a16="http://schemas.microsoft.com/office/drawing/2014/main" id="{00000000-0008-0000-1000-000006000000}"/>
            </a:ext>
          </a:extLst>
        </xdr:cNvPr>
        <xdr:cNvGrpSpPr/>
      </xdr:nvGrpSpPr>
      <xdr:grpSpPr>
        <a:xfrm>
          <a:off x="2917825" y="1079500"/>
          <a:ext cx="2825751" cy="817230"/>
          <a:chOff x="2917825" y="1079500"/>
          <a:chExt cx="2825751" cy="817230"/>
        </a:xfrm>
      </xdr:grpSpPr>
      <xdr:sp macro="" textlink="">
        <xdr:nvSpPr>
          <xdr:cNvPr id="7" name="Arrow Arc 1" descr="Arrow">
            <a:extLst>
              <a:ext uri="{FF2B5EF4-FFF2-40B4-BE49-F238E27FC236}">
                <a16:creationId xmlns:a16="http://schemas.microsoft.com/office/drawing/2014/main" id="{00000000-0008-0000-1000-000007000000}"/>
              </a:ext>
            </a:extLst>
          </xdr:cNvPr>
          <xdr:cNvSpPr/>
        </xdr:nvSpPr>
        <xdr:spPr>
          <a:xfrm rot="17299603">
            <a:off x="2924243" y="1230779"/>
            <a:ext cx="659533" cy="67237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 name="Tip Text 12" descr="Tip text &quot;This field should be summed up&quot;">
            <a:extLst>
              <a:ext uri="{FF2B5EF4-FFF2-40B4-BE49-F238E27FC236}">
                <a16:creationId xmlns:a16="http://schemas.microsoft.com/office/drawing/2014/main" id="{00000000-0008-0000-1000-000008000000}"/>
              </a:ext>
            </a:extLst>
          </xdr:cNvPr>
          <xdr:cNvSpPr txBox="1">
            <a:spLocks noChangeArrowheads="1"/>
          </xdr:cNvSpPr>
        </xdr:nvSpPr>
        <xdr:spPr bwMode="auto">
          <a:xfrm>
            <a:off x="3225800" y="1079500"/>
            <a:ext cx="2517776" cy="27653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eaLnBrk="1" fontAlgn="auto" latinLnBrk="0" hangingPunct="1"/>
            <a:r>
              <a:rPr lang="en-US" sz="1100" b="0" i="0" baseline="0">
                <a:effectLst/>
                <a:latin typeface="+mn-lt"/>
                <a:ea typeface="+mn-ea"/>
                <a:cs typeface="+mn-cs"/>
              </a:rPr>
              <a:t>This field should be summed up.</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absoluteAnchor>
  <xdr:absoluteAnchor>
    <xdr:pos x="3451670" y="4055650"/>
    <xdr:ext cx="1259205" cy="182880"/>
    <xdr:sp macro="" textlink="">
      <xdr:nvSpPr>
        <xdr:cNvPr id="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000-000009000000}"/>
            </a:ext>
          </a:extLst>
        </xdr:cNvPr>
        <xdr:cNvSpPr/>
      </xdr:nvSpPr>
      <xdr:spPr>
        <a:xfrm>
          <a:off x="3451670" y="4055650"/>
          <a:ext cx="125920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0.xml><?xml version="1.0" encoding="utf-8"?>
<xdr:wsDr xmlns:xdr="http://schemas.openxmlformats.org/drawingml/2006/spreadsheetDrawing" xmlns:a="http://schemas.openxmlformats.org/drawingml/2006/main">
  <xdr:absoluteAnchor>
    <xdr:pos x="0" y="0"/>
    <xdr:ext cx="8130794" cy="770128"/>
    <xdr:sp macro="" textlink="">
      <xdr:nvSpPr>
        <xdr:cNvPr id="2" name="Header" descr="So we did that. We summed up the Amount field with a PivotTable. (Really?) Yes. Sum of Amount and $834 make up a small PivotTable that totals up the Amount field">
          <a:extLst>
            <a:ext uri="{FF2B5EF4-FFF2-40B4-BE49-F238E27FC236}">
              <a16:creationId xmlns:a16="http://schemas.microsoft.com/office/drawing/2014/main" id="{00000000-0008-0000-1100-000002000000}"/>
            </a:ext>
          </a:extLst>
        </xdr:cNvPr>
        <xdr:cNvSpPr txBox="1"/>
      </xdr:nvSpPr>
      <xdr:spPr>
        <a:xfrm>
          <a:off x="0" y="0"/>
          <a:ext cx="813079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 we did that.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We summed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with a PivotTable. (Really?) Yes.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and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$834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make up a small PivotTable that totals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a:t>
          </a:r>
        </a:p>
      </xdr:txBody>
    </xdr:sp>
    <xdr:clientData/>
  </xdr:absoluteAnchor>
  <xdr:absoluteAnchor>
    <xdr:pos x="0" y="3594100"/>
    <xdr:ext cx="8130794" cy="641350"/>
    <xdr:sp macro="" textlink="">
      <xdr:nvSpPr>
        <xdr:cNvPr id="3" name="Footer" descr="Background">
          <a:extLst>
            <a:ext uri="{FF2B5EF4-FFF2-40B4-BE49-F238E27FC236}">
              <a16:creationId xmlns:a16="http://schemas.microsoft.com/office/drawing/2014/main" id="{00000000-0008-0000-1100-000003000000}"/>
            </a:ext>
          </a:extLst>
        </xdr:cNvPr>
        <xdr:cNvSpPr txBox="1"/>
      </xdr:nvSpPr>
      <xdr:spPr>
        <a:xfrm>
          <a:off x="0" y="3594100"/>
          <a:ext cx="81307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35014" y="3742326"/>
    <xdr:ext cx="1271016"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100-000004000000}"/>
            </a:ext>
          </a:extLst>
        </xdr:cNvPr>
        <xdr:cNvSpPr/>
      </xdr:nvSpPr>
      <xdr:spPr>
        <a:xfrm>
          <a:off x="6335014"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18922" y="3742326"/>
    <xdr:ext cx="1273683"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100-000005000000}"/>
            </a:ext>
          </a:extLst>
        </xdr:cNvPr>
        <xdr:cNvSpPr/>
      </xdr:nvSpPr>
      <xdr:spPr>
        <a:xfrm flipH="1">
          <a:off x="5189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3740151" y="1047749"/>
    <xdr:ext cx="3529628" cy="609603"/>
    <xdr:grpSp>
      <xdr:nvGrpSpPr>
        <xdr:cNvPr id="6" name="Tip Text Group 13" descr="Tip text &quot;It may not look like much, but this is a PivotTable&quot; bracketing PivotTable field Sum of Amount">
          <a:extLst>
            <a:ext uri="{FF2B5EF4-FFF2-40B4-BE49-F238E27FC236}">
              <a16:creationId xmlns:a16="http://schemas.microsoft.com/office/drawing/2014/main" id="{00000000-0008-0000-1100-000006000000}"/>
            </a:ext>
          </a:extLst>
        </xdr:cNvPr>
        <xdr:cNvGrpSpPr/>
      </xdr:nvGrpSpPr>
      <xdr:grpSpPr>
        <a:xfrm>
          <a:off x="3740151" y="1047749"/>
          <a:ext cx="3529628" cy="609603"/>
          <a:chOff x="3740151" y="1047749"/>
          <a:chExt cx="3529628" cy="609603"/>
        </a:xfrm>
      </xdr:grpSpPr>
      <xdr:sp macro="" textlink="">
        <xdr:nvSpPr>
          <xdr:cNvPr id="7" name="Bracket 10" descr="Bracket">
            <a:extLst>
              <a:ext uri="{FF2B5EF4-FFF2-40B4-BE49-F238E27FC236}">
                <a16:creationId xmlns:a16="http://schemas.microsoft.com/office/drawing/2014/main" id="{00000000-0008-0000-1100-000007000000}"/>
              </a:ext>
            </a:extLst>
          </xdr:cNvPr>
          <xdr:cNvSpPr/>
        </xdr:nvSpPr>
        <xdr:spPr>
          <a:xfrm rot="5400000">
            <a:off x="5304674" y="1075307"/>
            <a:ext cx="215834" cy="948255"/>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13" descr="Tip text &quot;It may not look like much, but this is a PivotTable&quot;&#10;&#10;">
            <a:extLst>
              <a:ext uri="{FF2B5EF4-FFF2-40B4-BE49-F238E27FC236}">
                <a16:creationId xmlns:a16="http://schemas.microsoft.com/office/drawing/2014/main" id="{00000000-0008-0000-1100-000008000000}"/>
              </a:ext>
            </a:extLst>
          </xdr:cNvPr>
          <xdr:cNvSpPr txBox="1">
            <a:spLocks noChangeArrowheads="1"/>
          </xdr:cNvSpPr>
        </xdr:nvSpPr>
        <xdr:spPr bwMode="auto">
          <a:xfrm>
            <a:off x="3740151" y="1047749"/>
            <a:ext cx="3529628" cy="27906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a:r>
              <a:rPr lang="en-US" sz="1100">
                <a:effectLst/>
                <a:latin typeface="+mn-lt"/>
                <a:ea typeface="+mn-ea"/>
                <a:cs typeface="+mn-cs"/>
              </a:rPr>
              <a:t>It may not look like much, but this is a PivotTable. </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absoluteAnchor>
  <xdr:absoluteAnchor>
    <xdr:pos x="3448495" y="4055650"/>
    <xdr:ext cx="1230630" cy="182880"/>
    <xdr:sp macro="" textlink="">
      <xdr:nvSpPr>
        <xdr:cNvPr id="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100-000009000000}"/>
            </a:ext>
          </a:extLst>
        </xdr:cNvPr>
        <xdr:cNvSpPr/>
      </xdr:nvSpPr>
      <xdr:spPr>
        <a:xfrm>
          <a:off x="3448495" y="4055650"/>
          <a:ext cx="1230630"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1.xml><?xml version="1.0" encoding="utf-8"?>
<xdr:wsDr xmlns:xdr="http://schemas.openxmlformats.org/drawingml/2006/spreadsheetDrawing" xmlns:a="http://schemas.openxmlformats.org/drawingml/2006/main">
  <xdr:absoluteAnchor>
    <xdr:pos x="0" y="0"/>
    <xdr:ext cx="8137144" cy="770128"/>
    <xdr:sp macro="" textlink="">
      <xdr:nvSpPr>
        <xdr:cNvPr id="2" name="Header" descr="Why make such a small PivotTable? Because it emphasizes the concept of a PivotTable value field. If one of the fields in your data contains numeric values, a PivotTable can total it up. When it does this, it's called a PivotTable value field">
          <a:extLst>
            <a:ext uri="{FF2B5EF4-FFF2-40B4-BE49-F238E27FC236}">
              <a16:creationId xmlns:a16="http://schemas.microsoft.com/office/drawing/2014/main" id="{00000000-0008-0000-1200-000002000000}"/>
            </a:ext>
          </a:extLst>
        </xdr:cNvPr>
        <xdr:cNvSpPr txBox="1"/>
      </xdr:nvSpPr>
      <xdr:spPr>
        <a:xfrm>
          <a:off x="0" y="0"/>
          <a:ext cx="813714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Why make such a small PivotTable?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Because it emphasizes the concept of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If one of the fields in your data contains numeric values, a PivotTable can total it up. When it does this, it's called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absoluteAnchor>
  <xdr:absoluteAnchor>
    <xdr:pos x="0" y="3594100"/>
    <xdr:ext cx="8137144" cy="641350"/>
    <xdr:sp macro="" textlink="">
      <xdr:nvSpPr>
        <xdr:cNvPr id="3" name="Footer" descr="Background">
          <a:extLst>
            <a:ext uri="{FF2B5EF4-FFF2-40B4-BE49-F238E27FC236}">
              <a16:creationId xmlns:a16="http://schemas.microsoft.com/office/drawing/2014/main" id="{00000000-0008-0000-1200-000003000000}"/>
            </a:ext>
          </a:extLst>
        </xdr:cNvPr>
        <xdr:cNvSpPr txBox="1"/>
      </xdr:nvSpPr>
      <xdr:spPr>
        <a:xfrm>
          <a:off x="0" y="3594100"/>
          <a:ext cx="813714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4031" y="3742326"/>
    <xdr:ext cx="1271016"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200-000004000000}"/>
            </a:ext>
          </a:extLst>
        </xdr:cNvPr>
        <xdr:cNvSpPr/>
      </xdr:nvSpPr>
      <xdr:spPr>
        <a:xfrm>
          <a:off x="634403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absoluteAnchor>
  <xdr:absoluteAnchor>
    <xdr:pos x="522097" y="3742326"/>
    <xdr:ext cx="1273683"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200-000005000000}"/>
            </a:ext>
          </a:extLst>
        </xdr:cNvPr>
        <xdr:cNvSpPr/>
      </xdr:nvSpPr>
      <xdr:spPr>
        <a:xfrm flipH="1">
          <a:off x="522097"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absoluteAnchor>
  <xdr:absoluteAnchor>
    <xdr:pos x="688975" y="1123950"/>
    <xdr:ext cx="2870200" cy="700768"/>
    <xdr:grpSp>
      <xdr:nvGrpSpPr>
        <xdr:cNvPr id="6" name="Tip Text Group 14" descr="Tip text &quot;This field contains numeric values...&quot; has an arrow pointing to Amount column of Expenses8 table">
          <a:extLst>
            <a:ext uri="{FF2B5EF4-FFF2-40B4-BE49-F238E27FC236}">
              <a16:creationId xmlns:a16="http://schemas.microsoft.com/office/drawing/2014/main" id="{00000000-0008-0000-1200-000006000000}"/>
            </a:ext>
          </a:extLst>
        </xdr:cNvPr>
        <xdr:cNvGrpSpPr/>
      </xdr:nvGrpSpPr>
      <xdr:grpSpPr>
        <a:xfrm>
          <a:off x="688975" y="1123950"/>
          <a:ext cx="2870200" cy="700768"/>
          <a:chOff x="688975" y="1123950"/>
          <a:chExt cx="2870200" cy="700768"/>
        </a:xfrm>
      </xdr:grpSpPr>
      <xdr:sp macro="" textlink="">
        <xdr:nvSpPr>
          <xdr:cNvPr id="7" name="Tip Text 14" descr="Tip text &quot;This field contains numeric values...&quot;&#10;">
            <a:extLst>
              <a:ext uri="{FF2B5EF4-FFF2-40B4-BE49-F238E27FC236}">
                <a16:creationId xmlns:a16="http://schemas.microsoft.com/office/drawing/2014/main" id="{00000000-0008-0000-1200-000007000000}"/>
              </a:ext>
            </a:extLst>
          </xdr:cNvPr>
          <xdr:cNvSpPr txBox="1"/>
        </xdr:nvSpPr>
        <xdr:spPr>
          <a:xfrm>
            <a:off x="688975" y="1123950"/>
            <a:ext cx="28702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field contains numeric values...</a:t>
            </a:r>
          </a:p>
        </xdr:txBody>
      </xdr:sp>
      <xdr:cxnSp macro="">
        <xdr:nvCxnSpPr>
          <xdr:cNvPr id="8" name="Straight Arrow Connector 1" descr="Arrow">
            <a:extLst>
              <a:ext uri="{FF2B5EF4-FFF2-40B4-BE49-F238E27FC236}">
                <a16:creationId xmlns:a16="http://schemas.microsoft.com/office/drawing/2014/main" id="{00000000-0008-0000-1200-000008000000}"/>
              </a:ext>
            </a:extLst>
          </xdr:cNvPr>
          <xdr:cNvCxnSpPr/>
        </xdr:nvCxnSpPr>
        <xdr:spPr>
          <a:xfrm flipV="1">
            <a:off x="28797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absoluteAnchor>
  <xdr:absoluteAnchor>
    <xdr:pos x="4562475" y="1123950"/>
    <xdr:ext cx="2819400" cy="700768"/>
    <xdr:grpSp>
      <xdr:nvGrpSpPr>
        <xdr:cNvPr id="9" name="Tip Text Group 15" descr="Tip text &quot;...and this PivotTable made it into a value field&quot; with an arrow pointing to PivotTable's Sum of Amount field">
          <a:extLst>
            <a:ext uri="{FF2B5EF4-FFF2-40B4-BE49-F238E27FC236}">
              <a16:creationId xmlns:a16="http://schemas.microsoft.com/office/drawing/2014/main" id="{00000000-0008-0000-1200-000009000000}"/>
            </a:ext>
          </a:extLst>
        </xdr:cNvPr>
        <xdr:cNvGrpSpPr/>
      </xdr:nvGrpSpPr>
      <xdr:grpSpPr>
        <a:xfrm>
          <a:off x="4562475" y="1123950"/>
          <a:ext cx="2819400" cy="700768"/>
          <a:chOff x="4562475" y="1123950"/>
          <a:chExt cx="2819400" cy="700768"/>
        </a:xfrm>
      </xdr:grpSpPr>
      <xdr:sp macro="" textlink="">
        <xdr:nvSpPr>
          <xdr:cNvPr id="10" name="Tip Text 15" descr="Tip text &quot;...and this PivotTable made it into a value field&quot;">
            <a:extLst>
              <a:ext uri="{FF2B5EF4-FFF2-40B4-BE49-F238E27FC236}">
                <a16:creationId xmlns:a16="http://schemas.microsoft.com/office/drawing/2014/main" id="{00000000-0008-0000-1200-00000A000000}"/>
              </a:ext>
            </a:extLst>
          </xdr:cNvPr>
          <xdr:cNvSpPr txBox="1"/>
        </xdr:nvSpPr>
        <xdr:spPr>
          <a:xfrm>
            <a:off x="4562475" y="1123950"/>
            <a:ext cx="28194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this PivotTable </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made it into 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cxnSp macro="">
        <xdr:nvCxnSpPr>
          <xdr:cNvPr id="11" name="Straight Arrow Connector 2" descr="Arrow">
            <a:extLst>
              <a:ext uri="{FF2B5EF4-FFF2-40B4-BE49-F238E27FC236}">
                <a16:creationId xmlns:a16="http://schemas.microsoft.com/office/drawing/2014/main" id="{00000000-0008-0000-1200-00000B000000}"/>
              </a:ext>
            </a:extLst>
          </xdr:cNvPr>
          <xdr:cNvCxnSpPr/>
        </xdr:nvCxnSpPr>
        <xdr:spPr>
          <a:xfrm flipV="1">
            <a:off x="54832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absoluteAnchor>
  <xdr:absoluteAnchor>
    <xdr:pos x="3451670" y="4055650"/>
    <xdr:ext cx="1227455" cy="182880"/>
    <xdr:sp macro="" textlink="">
      <xdr:nvSpPr>
        <xdr:cNvPr id="12"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200-00000C000000}"/>
            </a:ext>
          </a:extLst>
        </xdr:cNvPr>
        <xdr:cNvSpPr/>
      </xdr:nvSpPr>
      <xdr:spPr>
        <a:xfrm>
          <a:off x="3451670" y="4055650"/>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2.xml><?xml version="1.0" encoding="utf-8"?>
<xdr:wsDr xmlns:xdr="http://schemas.openxmlformats.org/drawingml/2006/spreadsheetDrawing" xmlns:a="http://schemas.openxmlformats.org/drawingml/2006/main">
  <xdr:absoluteAnchor>
    <xdr:pos x="0" y="0"/>
    <xdr:ext cx="8159369" cy="770128"/>
    <xdr:sp macro="" textlink="">
      <xdr:nvSpPr>
        <xdr:cNvPr id="2" name="Header" descr="PivotTables start getting interesting when you add conditions that divide or break down the value field. In this case, we added a new condition of Buyer to divide the value field">
          <a:extLst>
            <a:ext uri="{FF2B5EF4-FFF2-40B4-BE49-F238E27FC236}">
              <a16:creationId xmlns:a16="http://schemas.microsoft.com/office/drawing/2014/main" id="{00000000-0008-0000-1300-000002000000}"/>
            </a:ext>
          </a:extLst>
        </xdr:cNvPr>
        <xdr:cNvSpPr txBox="1"/>
      </xdr:nvSpPr>
      <xdr:spPr>
        <a:xfrm>
          <a:off x="0" y="0"/>
          <a:ext cx="81593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PivotTables start getting interesting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when</a:t>
          </a:r>
          <a:r>
            <a:rPr kumimoji="0" lang="en-US" sz="1500" b="1"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Semibold" panose="020B07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you add conditions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that divide or break down the value field. In this case, we added a new condition of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Buyer</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to divide the value field. </a:t>
          </a:r>
        </a:p>
      </xdr:txBody>
    </xdr:sp>
    <xdr:clientData/>
  </xdr:absoluteAnchor>
  <xdr:absoluteAnchor>
    <xdr:pos x="0" y="3594100"/>
    <xdr:ext cx="8159369" cy="641350"/>
    <xdr:sp macro="" textlink="">
      <xdr:nvSpPr>
        <xdr:cNvPr id="3" name="Footer" descr="Background">
          <a:extLst>
            <a:ext uri="{FF2B5EF4-FFF2-40B4-BE49-F238E27FC236}">
              <a16:creationId xmlns:a16="http://schemas.microsoft.com/office/drawing/2014/main" id="{00000000-0008-0000-13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6126" y="3742326"/>
    <xdr:ext cx="1271016" cy="343916"/>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300-000004000000}"/>
            </a:ext>
          </a:extLst>
        </xdr:cNvPr>
        <xdr:cNvSpPr/>
      </xdr:nvSpPr>
      <xdr:spPr>
        <a:xfrm>
          <a:off x="6346126"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absoluteAnchor>
  <xdr:absoluteAnchor>
    <xdr:pos x="533209" y="3740738"/>
    <xdr:ext cx="1273683" cy="340741"/>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300-000005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absoluteAnchor>
  <xdr:absoluteAnchor>
    <xdr:pos x="5756275" y="1171575"/>
    <xdr:ext cx="930275" cy="672193"/>
    <xdr:grpSp>
      <xdr:nvGrpSpPr>
        <xdr:cNvPr id="6" name="Tip Text Group 17" descr="Tip text &quot;Value field&quot; has an arrow pointing to PivotTable Sum of Amount field">
          <a:extLst>
            <a:ext uri="{FF2B5EF4-FFF2-40B4-BE49-F238E27FC236}">
              <a16:creationId xmlns:a16="http://schemas.microsoft.com/office/drawing/2014/main" id="{00000000-0008-0000-1300-000006000000}"/>
            </a:ext>
          </a:extLst>
        </xdr:cNvPr>
        <xdr:cNvGrpSpPr/>
      </xdr:nvGrpSpPr>
      <xdr:grpSpPr>
        <a:xfrm>
          <a:off x="5756275" y="1171575"/>
          <a:ext cx="930275" cy="672193"/>
          <a:chOff x="5756275" y="1171575"/>
          <a:chExt cx="930275" cy="672193"/>
        </a:xfrm>
      </xdr:grpSpPr>
      <xdr:cxnSp macro="">
        <xdr:nvCxnSpPr>
          <xdr:cNvPr id="7" name="Straight Arrow Connector 3" descr="Arrow">
            <a:extLst>
              <a:ext uri="{FF2B5EF4-FFF2-40B4-BE49-F238E27FC236}">
                <a16:creationId xmlns:a16="http://schemas.microsoft.com/office/drawing/2014/main" id="{00000000-0008-0000-1300-000007000000}"/>
              </a:ext>
            </a:extLst>
          </xdr:cNvPr>
          <xdr:cNvCxnSpPr/>
        </xdr:nvCxnSpPr>
        <xdr:spPr>
          <a:xfrm flipV="1">
            <a:off x="6251575" y="165326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17" descr="Tip text &quot;Value field&quot;">
            <a:extLst>
              <a:ext uri="{FF2B5EF4-FFF2-40B4-BE49-F238E27FC236}">
                <a16:creationId xmlns:a16="http://schemas.microsoft.com/office/drawing/2014/main" id="{00000000-0008-0000-1300-000008000000}"/>
              </a:ext>
            </a:extLst>
          </xdr:cNvPr>
          <xdr:cNvSpPr txBox="1"/>
        </xdr:nvSpPr>
        <xdr:spPr>
          <a:xfrm>
            <a:off x="5756275" y="1171575"/>
            <a:ext cx="9302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absoluteAnchor>
  <xdr:absoluteAnchor>
    <xdr:pos x="2209800" y="1171575"/>
    <xdr:ext cx="3022331" cy="944295"/>
    <xdr:grpSp>
      <xdr:nvGrpSpPr>
        <xdr:cNvPr id="9" name="Tip Text Group 16" descr="Tip text &quot;We added a condition here to divide the value field by Buyer&quot; has an arrow pointing to PivotTable Buyer field">
          <a:extLst>
            <a:ext uri="{FF2B5EF4-FFF2-40B4-BE49-F238E27FC236}">
              <a16:creationId xmlns:a16="http://schemas.microsoft.com/office/drawing/2014/main" id="{00000000-0008-0000-1300-000009000000}"/>
            </a:ext>
          </a:extLst>
        </xdr:cNvPr>
        <xdr:cNvGrpSpPr/>
      </xdr:nvGrpSpPr>
      <xdr:grpSpPr>
        <a:xfrm>
          <a:off x="2209800" y="1171575"/>
          <a:ext cx="3022331" cy="944295"/>
          <a:chOff x="2209800" y="1171575"/>
          <a:chExt cx="3022331" cy="944295"/>
        </a:xfrm>
      </xdr:grpSpPr>
      <xdr:sp macro="" textlink="">
        <xdr:nvSpPr>
          <xdr:cNvPr id="10" name="Arrow Arc 3" descr="Arrow">
            <a:extLst>
              <a:ext uri="{FF2B5EF4-FFF2-40B4-BE49-F238E27FC236}">
                <a16:creationId xmlns:a16="http://schemas.microsoft.com/office/drawing/2014/main" id="{00000000-0008-0000-1300-00000A000000}"/>
              </a:ext>
            </a:extLst>
          </xdr:cNvPr>
          <xdr:cNvSpPr/>
        </xdr:nvSpPr>
        <xdr:spPr>
          <a:xfrm rot="4300397" flipH="1">
            <a:off x="4680744" y="1564482"/>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 name="Tip Text 16" descr="Tip text &quot;We added a condition here to divide the value field by Buyer&quot;">
            <a:extLst>
              <a:ext uri="{FF2B5EF4-FFF2-40B4-BE49-F238E27FC236}">
                <a16:creationId xmlns:a16="http://schemas.microsoft.com/office/drawing/2014/main" id="{00000000-0008-0000-1300-00000B000000}"/>
              </a:ext>
            </a:extLst>
          </xdr:cNvPr>
          <xdr:cNvSpPr txBox="1"/>
        </xdr:nvSpPr>
        <xdr:spPr>
          <a:xfrm>
            <a:off x="2209800" y="1171575"/>
            <a:ext cx="27590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Buyer</a:t>
            </a:r>
            <a:r>
              <a:rPr lang="en-US" sz="1100" noProof="0">
                <a:effectLst/>
                <a:latin typeface="+mj-lt"/>
                <a:ea typeface="Calibri" panose="020F0502020204030204" pitchFamily="34" charset="0"/>
                <a:cs typeface="Times New Roman" panose="02020603050405020304" pitchFamily="18" charset="0"/>
              </a:rPr>
              <a:t>.</a:t>
            </a:r>
          </a:p>
        </xdr:txBody>
      </xdr:sp>
    </xdr:grpSp>
    <xdr:clientData/>
  </xdr:absoluteAnchor>
  <xdr:absoluteAnchor>
    <xdr:pos x="3451670" y="4055650"/>
    <xdr:ext cx="1227455" cy="182880"/>
    <xdr:sp macro="" textlink="">
      <xdr:nvSpPr>
        <xdr:cNvPr id="12"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300-00000C000000}"/>
            </a:ext>
          </a:extLst>
        </xdr:cNvPr>
        <xdr:cNvSpPr/>
      </xdr:nvSpPr>
      <xdr:spPr>
        <a:xfrm>
          <a:off x="3451670" y="4055650"/>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3.xml><?xml version="1.0" encoding="utf-8"?>
<xdr:wsDr xmlns:xdr="http://schemas.openxmlformats.org/drawingml/2006/spreadsheetDrawing" xmlns:a="http://schemas.openxmlformats.org/drawingml/2006/main">
  <xdr:absoluteAnchor>
    <xdr:pos x="0" y="0"/>
    <xdr:ext cx="8159369" cy="770128"/>
    <xdr:sp macro="" textlink="">
      <xdr:nvSpPr>
        <xdr:cNvPr id="2" name="Header" descr="And here's another version of the PivotTable, but this time we added the condition of Type to see how much was spent for each type of purchase">
          <a:extLst>
            <a:ext uri="{FF2B5EF4-FFF2-40B4-BE49-F238E27FC236}">
              <a16:creationId xmlns:a16="http://schemas.microsoft.com/office/drawing/2014/main" id="{00000000-0008-0000-1400-000002000000}"/>
            </a:ext>
          </a:extLst>
        </xdr:cNvPr>
        <xdr:cNvSpPr txBox="1"/>
      </xdr:nvSpPr>
      <xdr:spPr>
        <a:xfrm>
          <a:off x="0" y="0"/>
          <a:ext cx="81593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And here's another version of the PivotTable,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this time we added the condition of </a:t>
          </a:r>
          <a:r>
            <a:rPr kumimoji="0" lang="en-US" sz="16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Type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to see how much was spent for each type of purchase.</a:t>
          </a:r>
        </a:p>
      </xdr:txBody>
    </xdr:sp>
    <xdr:clientData/>
  </xdr:absoluteAnchor>
  <xdr:absoluteAnchor>
    <xdr:pos x="0" y="3594100"/>
    <xdr:ext cx="8159369" cy="641350"/>
    <xdr:sp macro="" textlink="">
      <xdr:nvSpPr>
        <xdr:cNvPr id="3" name="Footer" descr="Background">
          <a:extLst>
            <a:ext uri="{FF2B5EF4-FFF2-40B4-BE49-F238E27FC236}">
              <a16:creationId xmlns:a16="http://schemas.microsoft.com/office/drawing/2014/main" id="{00000000-0008-0000-14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55143" y="3742326"/>
    <xdr:ext cx="1271016" cy="343916"/>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400-000004000000}"/>
            </a:ext>
          </a:extLst>
        </xdr:cNvPr>
        <xdr:cNvSpPr/>
      </xdr:nvSpPr>
      <xdr:spPr>
        <a:xfrm>
          <a:off x="6355143"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absoluteAnchor>
  <xdr:absoluteAnchor>
    <xdr:pos x="533209" y="3740738"/>
    <xdr:ext cx="1273683" cy="340741"/>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400-000005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absoluteAnchor>
  <xdr:absoluteAnchor>
    <xdr:pos x="5708650" y="977900"/>
    <xdr:ext cx="977900" cy="672193"/>
    <xdr:grpSp>
      <xdr:nvGrpSpPr>
        <xdr:cNvPr id="6" name="Tip Text Group 19" descr="Tip text &quot;Value field&quot; has an arrow pointing to PivotTable Sum of Amount field">
          <a:extLst>
            <a:ext uri="{FF2B5EF4-FFF2-40B4-BE49-F238E27FC236}">
              <a16:creationId xmlns:a16="http://schemas.microsoft.com/office/drawing/2014/main" id="{00000000-0008-0000-1400-000006000000}"/>
            </a:ext>
          </a:extLst>
        </xdr:cNvPr>
        <xdr:cNvGrpSpPr/>
      </xdr:nvGrpSpPr>
      <xdr:grpSpPr>
        <a:xfrm>
          <a:off x="5708650" y="977900"/>
          <a:ext cx="977900" cy="672193"/>
          <a:chOff x="5708650" y="977900"/>
          <a:chExt cx="942975" cy="672193"/>
        </a:xfrm>
      </xdr:grpSpPr>
      <xdr:cxnSp macro="">
        <xdr:nvCxnSpPr>
          <xdr:cNvPr id="7" name="Straight Arrow Connector 4" descr="Arrow">
            <a:extLst>
              <a:ext uri="{FF2B5EF4-FFF2-40B4-BE49-F238E27FC236}">
                <a16:creationId xmlns:a16="http://schemas.microsoft.com/office/drawing/2014/main" id="{00000000-0008-0000-1400-000007000000}"/>
              </a:ext>
            </a:extLst>
          </xdr:cNvPr>
          <xdr:cNvCxnSpPr/>
        </xdr:nvCxnSpPr>
        <xdr:spPr>
          <a:xfrm flipV="1">
            <a:off x="6180137" y="14595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19" descr="Tip text &quot;Value field&quot;">
            <a:extLst>
              <a:ext uri="{FF2B5EF4-FFF2-40B4-BE49-F238E27FC236}">
                <a16:creationId xmlns:a16="http://schemas.microsoft.com/office/drawing/2014/main" id="{00000000-0008-0000-1400-000008000000}"/>
              </a:ext>
            </a:extLst>
          </xdr:cNvPr>
          <xdr:cNvSpPr txBox="1"/>
        </xdr:nvSpPr>
        <xdr:spPr>
          <a:xfrm>
            <a:off x="5708650" y="977900"/>
            <a:ext cx="9429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absoluteAnchor>
  <xdr:absoluteAnchor>
    <xdr:pos x="2162175" y="977900"/>
    <xdr:ext cx="3022331" cy="944295"/>
    <xdr:grpSp>
      <xdr:nvGrpSpPr>
        <xdr:cNvPr id="9" name="Tip Text Group 18" descr="Tip text &quot;We added a condition here to divide the value field by Type&quot; has an arrow pointing to PivotTable Type field">
          <a:extLst>
            <a:ext uri="{FF2B5EF4-FFF2-40B4-BE49-F238E27FC236}">
              <a16:creationId xmlns:a16="http://schemas.microsoft.com/office/drawing/2014/main" id="{00000000-0008-0000-1400-000009000000}"/>
            </a:ext>
          </a:extLst>
        </xdr:cNvPr>
        <xdr:cNvGrpSpPr/>
      </xdr:nvGrpSpPr>
      <xdr:grpSpPr>
        <a:xfrm>
          <a:off x="2162175" y="977900"/>
          <a:ext cx="3022331" cy="944295"/>
          <a:chOff x="2162175" y="977900"/>
          <a:chExt cx="3022331" cy="944295"/>
        </a:xfrm>
      </xdr:grpSpPr>
      <xdr:sp macro="" textlink="">
        <xdr:nvSpPr>
          <xdr:cNvPr id="10" name="Arrow Arc 4" descr="Arrow">
            <a:extLst>
              <a:ext uri="{FF2B5EF4-FFF2-40B4-BE49-F238E27FC236}">
                <a16:creationId xmlns:a16="http://schemas.microsoft.com/office/drawing/2014/main" id="{00000000-0008-0000-1400-00000A000000}"/>
              </a:ext>
            </a:extLst>
          </xdr:cNvPr>
          <xdr:cNvSpPr/>
        </xdr:nvSpPr>
        <xdr:spPr>
          <a:xfrm rot="4300397" flipH="1">
            <a:off x="4633119" y="1370807"/>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 name="Tip Text 18" descr="Tip text &quot;We added a condition here to divide the value field by Type&quot;">
            <a:extLst>
              <a:ext uri="{FF2B5EF4-FFF2-40B4-BE49-F238E27FC236}">
                <a16:creationId xmlns:a16="http://schemas.microsoft.com/office/drawing/2014/main" id="{00000000-0008-0000-1400-00000B000000}"/>
              </a:ext>
            </a:extLst>
          </xdr:cNvPr>
          <xdr:cNvSpPr txBox="1"/>
        </xdr:nvSpPr>
        <xdr:spPr>
          <a:xfrm>
            <a:off x="2162175" y="977900"/>
            <a:ext cx="271462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Type</a:t>
            </a:r>
            <a:r>
              <a:rPr lang="en-US" sz="1100" noProof="0">
                <a:effectLst/>
                <a:latin typeface="+mj-lt"/>
                <a:ea typeface="Calibri" panose="020F0502020204030204" pitchFamily="34" charset="0"/>
                <a:cs typeface="Times New Roman" panose="02020603050405020304" pitchFamily="18" charset="0"/>
              </a:rPr>
              <a:t>.</a:t>
            </a:r>
          </a:p>
        </xdr:txBody>
      </xdr:sp>
    </xdr:grpSp>
    <xdr:clientData/>
  </xdr:absoluteAnchor>
  <xdr:absoluteAnchor>
    <xdr:pos x="3451670" y="4055650"/>
    <xdr:ext cx="1227455" cy="182880"/>
    <xdr:sp macro="" textlink="">
      <xdr:nvSpPr>
        <xdr:cNvPr id="12"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400-00000C000000}"/>
            </a:ext>
          </a:extLst>
        </xdr:cNvPr>
        <xdr:cNvSpPr/>
      </xdr:nvSpPr>
      <xdr:spPr>
        <a:xfrm>
          <a:off x="3451670" y="4055650"/>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4.xml><?xml version="1.0" encoding="utf-8"?>
<xdr:wsDr xmlns:xdr="http://schemas.openxmlformats.org/drawingml/2006/spreadsheetDrawing" xmlns:a="http://schemas.openxmlformats.org/drawingml/2006/main">
  <xdr:absoluteAnchor>
    <xdr:pos x="0" y="0"/>
    <xdr:ext cx="8159369" cy="770128"/>
    <xdr:sp macro="" textlink="">
      <xdr:nvSpPr>
        <xdr:cNvPr id="2" name="Header" descr="Another PivotTable term: The conditions we've added so far are called PivotTable row fields. In these examples, the row field breaks down, or divides, the value field">
          <a:extLst>
            <a:ext uri="{FF2B5EF4-FFF2-40B4-BE49-F238E27FC236}">
              <a16:creationId xmlns:a16="http://schemas.microsoft.com/office/drawing/2014/main" id="{00000000-0008-0000-1500-000002000000}"/>
            </a:ext>
          </a:extLst>
        </xdr:cNvPr>
        <xdr:cNvSpPr txBox="1"/>
      </xdr:nvSpPr>
      <xdr:spPr>
        <a:xfrm>
          <a:off x="0" y="0"/>
          <a:ext cx="81593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Another PivotTable term: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conditions we've added so far are called PivotTable</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row fields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In these examples,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 field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breaks down, or divides,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absoluteAnchor>
  <xdr:absoluteAnchor>
    <xdr:pos x="0" y="3594100"/>
    <xdr:ext cx="8159369" cy="641350"/>
    <xdr:sp macro="" textlink="">
      <xdr:nvSpPr>
        <xdr:cNvPr id="3" name="Footer" descr="Background">
          <a:extLst>
            <a:ext uri="{FF2B5EF4-FFF2-40B4-BE49-F238E27FC236}">
              <a16:creationId xmlns:a16="http://schemas.microsoft.com/office/drawing/2014/main" id="{00000000-0008-0000-15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2951" y="3742326"/>
    <xdr:ext cx="1283208" cy="344899"/>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500-000004000000}"/>
            </a:ext>
          </a:extLst>
        </xdr:cNvPr>
        <xdr:cNvSpPr/>
      </xdr:nvSpPr>
      <xdr:spPr>
        <a:xfrm>
          <a:off x="6342951" y="3742326"/>
          <a:ext cx="12832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33209" y="3742326"/>
    <xdr:ext cx="1273683" cy="344899"/>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500-000005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5975350" y="1200150"/>
    <xdr:ext cx="930275" cy="462643"/>
    <xdr:grpSp>
      <xdr:nvGrpSpPr>
        <xdr:cNvPr id="6" name="Tip Text Group 21" descr="Tip text &quot;Value field&quot; has an arrow pointing to PivotTable Sum of Amount field">
          <a:extLst>
            <a:ext uri="{FF2B5EF4-FFF2-40B4-BE49-F238E27FC236}">
              <a16:creationId xmlns:a16="http://schemas.microsoft.com/office/drawing/2014/main" id="{00000000-0008-0000-1500-000006000000}"/>
            </a:ext>
          </a:extLst>
        </xdr:cNvPr>
        <xdr:cNvGrpSpPr/>
      </xdr:nvGrpSpPr>
      <xdr:grpSpPr>
        <a:xfrm>
          <a:off x="5975350" y="1200150"/>
          <a:ext cx="930275" cy="462643"/>
          <a:chOff x="5975350" y="1200150"/>
          <a:chExt cx="930275" cy="462643"/>
        </a:xfrm>
      </xdr:grpSpPr>
      <xdr:cxnSp macro="">
        <xdr:nvCxnSpPr>
          <xdr:cNvPr id="7" name="Straight Arrow Connector 6" descr="Arrow">
            <a:extLst>
              <a:ext uri="{FF2B5EF4-FFF2-40B4-BE49-F238E27FC236}">
                <a16:creationId xmlns:a16="http://schemas.microsoft.com/office/drawing/2014/main" id="{00000000-0008-0000-1500-000007000000}"/>
              </a:ext>
            </a:extLst>
          </xdr:cNvPr>
          <xdr:cNvCxnSpPr/>
        </xdr:nvCxnSpPr>
        <xdr:spPr>
          <a:xfrm flipV="1">
            <a:off x="6440487"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21" descr="Tip text &quot;Value field&quot;&#10;">
            <a:extLst>
              <a:ext uri="{FF2B5EF4-FFF2-40B4-BE49-F238E27FC236}">
                <a16:creationId xmlns:a16="http://schemas.microsoft.com/office/drawing/2014/main" id="{00000000-0008-0000-1500-000008000000}"/>
              </a:ext>
            </a:extLst>
          </xdr:cNvPr>
          <xdr:cNvSpPr txBox="1"/>
        </xdr:nvSpPr>
        <xdr:spPr>
          <a:xfrm>
            <a:off x="5975350" y="1200150"/>
            <a:ext cx="930275"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absoluteAnchor>
  <xdr:absoluteAnchor>
    <xdr:pos x="4733925" y="1200150"/>
    <xdr:ext cx="984250" cy="462643"/>
    <xdr:grpSp>
      <xdr:nvGrpSpPr>
        <xdr:cNvPr id="9" name="Tip Text Group 20" descr="Tip text &quot;Row Field&quot; has an arrow pointing to PivotTable Buyer field">
          <a:extLst>
            <a:ext uri="{FF2B5EF4-FFF2-40B4-BE49-F238E27FC236}">
              <a16:creationId xmlns:a16="http://schemas.microsoft.com/office/drawing/2014/main" id="{00000000-0008-0000-1500-000009000000}"/>
            </a:ext>
          </a:extLst>
        </xdr:cNvPr>
        <xdr:cNvGrpSpPr/>
      </xdr:nvGrpSpPr>
      <xdr:grpSpPr>
        <a:xfrm>
          <a:off x="4733925" y="1200150"/>
          <a:ext cx="984250" cy="462643"/>
          <a:chOff x="4733925" y="1200150"/>
          <a:chExt cx="984250" cy="462643"/>
        </a:xfrm>
      </xdr:grpSpPr>
      <xdr:cxnSp macro="">
        <xdr:nvCxnSpPr>
          <xdr:cNvPr id="10" name="Straight Arrow Connector 9" descr="Arrow">
            <a:extLst>
              <a:ext uri="{FF2B5EF4-FFF2-40B4-BE49-F238E27FC236}">
                <a16:creationId xmlns:a16="http://schemas.microsoft.com/office/drawing/2014/main" id="{00000000-0008-0000-1500-00000A000000}"/>
              </a:ext>
            </a:extLst>
          </xdr:cNvPr>
          <xdr:cNvCxnSpPr/>
        </xdr:nvCxnSpPr>
        <xdr:spPr>
          <a:xfrm flipV="1">
            <a:off x="5226050"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Tip Text 20" descr="Tip text &quot;Row field&quot;&#10;">
            <a:extLst>
              <a:ext uri="{FF2B5EF4-FFF2-40B4-BE49-F238E27FC236}">
                <a16:creationId xmlns:a16="http://schemas.microsoft.com/office/drawing/2014/main" id="{00000000-0008-0000-1500-00000B000000}"/>
              </a:ext>
            </a:extLst>
          </xdr:cNvPr>
          <xdr:cNvSpPr txBox="1"/>
        </xdr:nvSpPr>
        <xdr:spPr>
          <a:xfrm>
            <a:off x="4733925" y="1200150"/>
            <a:ext cx="984250"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Row field</a:t>
            </a:r>
          </a:p>
        </xdr:txBody>
      </xdr:sp>
    </xdr:grpSp>
    <xdr:clientData/>
  </xdr:absoluteAnchor>
  <xdr:absoluteAnchor>
    <xdr:pos x="3451670" y="4055650"/>
    <xdr:ext cx="1227455" cy="182880"/>
    <xdr:sp macro="" textlink="">
      <xdr:nvSpPr>
        <xdr:cNvPr id="12"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500-00000C000000}"/>
            </a:ext>
          </a:extLst>
        </xdr:cNvPr>
        <xdr:cNvSpPr/>
      </xdr:nvSpPr>
      <xdr:spPr>
        <a:xfrm>
          <a:off x="3451670" y="4055650"/>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5.xml><?xml version="1.0" encoding="utf-8"?>
<xdr:wsDr xmlns:xdr="http://schemas.openxmlformats.org/drawingml/2006/spreadsheetDrawing" xmlns:a="http://schemas.openxmlformats.org/drawingml/2006/main">
  <xdr:absoluteAnchor>
    <xdr:pos x="0" y="3594100"/>
    <xdr:ext cx="8159369" cy="641350"/>
    <xdr:sp macro="" textlink="">
      <xdr:nvSpPr>
        <xdr:cNvPr id="2" name="Footer" descr="Background">
          <a:extLst>
            <a:ext uri="{FF2B5EF4-FFF2-40B4-BE49-F238E27FC236}">
              <a16:creationId xmlns:a16="http://schemas.microsoft.com/office/drawing/2014/main" id="{00000000-0008-0000-1600-000002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55143" y="3742326"/>
    <xdr:ext cx="1271016" cy="344899"/>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600-000003000000}"/>
            </a:ext>
          </a:extLst>
        </xdr:cNvPr>
        <xdr:cNvSpPr/>
      </xdr:nvSpPr>
      <xdr:spPr>
        <a:xfrm>
          <a:off x="635514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33209" y="3742326"/>
    <xdr:ext cx="1273683" cy="344899"/>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600-000004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0" y="9525"/>
    <xdr:ext cx="8159369" cy="422275"/>
    <xdr:sp macro="" textlink="">
      <xdr:nvSpPr>
        <xdr:cNvPr id="5" name="Blue Header" descr="LET'S REVIEW&#10;">
          <a:extLst>
            <a:ext uri="{FF2B5EF4-FFF2-40B4-BE49-F238E27FC236}">
              <a16:creationId xmlns:a16="http://schemas.microsoft.com/office/drawing/2014/main" id="{00000000-0008-0000-1600-000005000000}"/>
            </a:ext>
          </a:extLst>
        </xdr:cNvPr>
        <xdr:cNvSpPr txBox="1"/>
      </xdr:nvSpPr>
      <xdr:spPr>
        <a:xfrm>
          <a:off x="0" y="9525"/>
          <a:ext cx="8159369" cy="42227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LET'S REVIEW</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0" y="428625"/>
    <xdr:ext cx="8159369" cy="587375"/>
    <xdr:sp macro="" textlink="">
      <xdr:nvSpPr>
        <xdr:cNvPr id="6" name="Header" descr="You'll learn how to actually make a PivotTable in a few moments. But let's review the concepts we've taught you so far:&#10;">
          <a:extLst>
            <a:ext uri="{FF2B5EF4-FFF2-40B4-BE49-F238E27FC236}">
              <a16:creationId xmlns:a16="http://schemas.microsoft.com/office/drawing/2014/main" id="{00000000-0008-0000-1600-000006000000}"/>
            </a:ext>
          </a:extLst>
        </xdr:cNvPr>
        <xdr:cNvSpPr txBox="1"/>
      </xdr:nvSpPr>
      <xdr:spPr>
        <a:xfrm>
          <a:off x="0" y="428625"/>
          <a:ext cx="8159369" cy="5873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4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You'll learn how to actually make a PivotTable in a few moments. But let's review the concepts we've taught you so far:</a:t>
          </a:r>
          <a:endParaRPr lang="en-US" sz="1400" b="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56003" y="1154792"/>
    <xdr:ext cx="2571020" cy="504826"/>
    <xdr:grpSp>
      <xdr:nvGrpSpPr>
        <xdr:cNvPr id="7" name="Tip Text Group 22" descr="Tip text &quot;First, start with good data&quot; has an arrow pointing to Expenses12 table">
          <a:extLst>
            <a:ext uri="{FF2B5EF4-FFF2-40B4-BE49-F238E27FC236}">
              <a16:creationId xmlns:a16="http://schemas.microsoft.com/office/drawing/2014/main" id="{00000000-0008-0000-1600-000007000000}"/>
            </a:ext>
          </a:extLst>
        </xdr:cNvPr>
        <xdr:cNvGrpSpPr/>
      </xdr:nvGrpSpPr>
      <xdr:grpSpPr>
        <a:xfrm>
          <a:off x="656003" y="1154792"/>
          <a:ext cx="2571020" cy="504826"/>
          <a:chOff x="656003" y="1154792"/>
          <a:chExt cx="2571020" cy="504826"/>
        </a:xfrm>
      </xdr:grpSpPr>
      <xdr:cxnSp macro="">
        <xdr:nvCxnSpPr>
          <xdr:cNvPr id="8" name="Straight Arrow Connector 7" descr="Arrow">
            <a:extLst>
              <a:ext uri="{FF2B5EF4-FFF2-40B4-BE49-F238E27FC236}">
                <a16:creationId xmlns:a16="http://schemas.microsoft.com/office/drawing/2014/main" id="{00000000-0008-0000-1600-000008000000}"/>
              </a:ext>
            </a:extLst>
          </xdr:cNvPr>
          <xdr:cNvCxnSpPr/>
        </xdr:nvCxnSpPr>
        <xdr:spPr>
          <a:xfrm flipV="1">
            <a:off x="1941513" y="1405618"/>
            <a:ext cx="0" cy="2540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22" descr="Tip text &quot;First, start with good data&quot;&#10;">
            <a:extLst>
              <a:ext uri="{FF2B5EF4-FFF2-40B4-BE49-F238E27FC236}">
                <a16:creationId xmlns:a16="http://schemas.microsoft.com/office/drawing/2014/main" id="{00000000-0008-0000-1600-000009000000}"/>
              </a:ext>
            </a:extLst>
          </xdr:cNvPr>
          <xdr:cNvSpPr txBox="1"/>
        </xdr:nvSpPr>
        <xdr:spPr>
          <a:xfrm>
            <a:off x="656003" y="1154792"/>
            <a:ext cx="2571020" cy="25082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First, start with good data.</a:t>
            </a:r>
          </a:p>
        </xdr:txBody>
      </xdr:sp>
    </xdr:grpSp>
    <xdr:clientData/>
  </xdr:absoluteAnchor>
  <xdr:absoluteAnchor>
    <xdr:pos x="6194425" y="1143000"/>
    <xdr:ext cx="930275" cy="468993"/>
    <xdr:grpSp>
      <xdr:nvGrpSpPr>
        <xdr:cNvPr id="10" name="Tip Text Group 24" descr="Tip text &quot;a value field&quot; has an arrow pointing to PivotTable Sum of Amount field">
          <a:extLst>
            <a:ext uri="{FF2B5EF4-FFF2-40B4-BE49-F238E27FC236}">
              <a16:creationId xmlns:a16="http://schemas.microsoft.com/office/drawing/2014/main" id="{00000000-0008-0000-1600-00000A000000}"/>
            </a:ext>
          </a:extLst>
        </xdr:cNvPr>
        <xdr:cNvGrpSpPr/>
      </xdr:nvGrpSpPr>
      <xdr:grpSpPr>
        <a:xfrm>
          <a:off x="6194425" y="1143000"/>
          <a:ext cx="930275" cy="468993"/>
          <a:chOff x="6194425" y="1143000"/>
          <a:chExt cx="930275" cy="468993"/>
        </a:xfrm>
      </xdr:grpSpPr>
      <xdr:cxnSp macro="">
        <xdr:nvCxnSpPr>
          <xdr:cNvPr id="11" name="Straight Arrow Connector 9" descr="Arrow">
            <a:extLst>
              <a:ext uri="{FF2B5EF4-FFF2-40B4-BE49-F238E27FC236}">
                <a16:creationId xmlns:a16="http://schemas.microsoft.com/office/drawing/2014/main" id="{00000000-0008-0000-1600-00000B000000}"/>
              </a:ext>
            </a:extLst>
          </xdr:cNvPr>
          <xdr:cNvCxnSpPr/>
        </xdr:nvCxnSpPr>
        <xdr:spPr>
          <a:xfrm flipV="1">
            <a:off x="64230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ip Text 24" descr="Tip text &quot;a value field&quot;&#10;">
            <a:extLst>
              <a:ext uri="{FF2B5EF4-FFF2-40B4-BE49-F238E27FC236}">
                <a16:creationId xmlns:a16="http://schemas.microsoft.com/office/drawing/2014/main" id="{00000000-0008-0000-1600-00000C000000}"/>
              </a:ext>
            </a:extLst>
          </xdr:cNvPr>
          <xdr:cNvSpPr txBox="1"/>
        </xdr:nvSpPr>
        <xdr:spPr>
          <a:xfrm>
            <a:off x="6194425" y="1143000"/>
            <a:ext cx="930275"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grpSp>
    <xdr:clientData/>
  </xdr:absoluteAnchor>
  <xdr:absoluteAnchor>
    <xdr:pos x="4295776" y="1143000"/>
    <xdr:ext cx="1765299" cy="468993"/>
    <xdr:grpSp>
      <xdr:nvGrpSpPr>
        <xdr:cNvPr id="13" name="Tip Text Group 23" descr="Tip text &quot;A row field breaks down...&quot; has an arrow pointing to PivotTable Buyer field&#10;">
          <a:extLst>
            <a:ext uri="{FF2B5EF4-FFF2-40B4-BE49-F238E27FC236}">
              <a16:creationId xmlns:a16="http://schemas.microsoft.com/office/drawing/2014/main" id="{00000000-0008-0000-1600-00000D000000}"/>
            </a:ext>
          </a:extLst>
        </xdr:cNvPr>
        <xdr:cNvGrpSpPr/>
      </xdr:nvGrpSpPr>
      <xdr:grpSpPr>
        <a:xfrm>
          <a:off x="4295776" y="1143000"/>
          <a:ext cx="1765299" cy="468993"/>
          <a:chOff x="4295776" y="1143000"/>
          <a:chExt cx="1765299" cy="468993"/>
        </a:xfrm>
      </xdr:grpSpPr>
      <xdr:cxnSp macro="">
        <xdr:nvCxnSpPr>
          <xdr:cNvPr id="14" name="Straight Arrow Connector 8" descr="Arrow">
            <a:extLst>
              <a:ext uri="{FF2B5EF4-FFF2-40B4-BE49-F238E27FC236}">
                <a16:creationId xmlns:a16="http://schemas.microsoft.com/office/drawing/2014/main" id="{00000000-0008-0000-1600-00000E000000}"/>
              </a:ext>
            </a:extLst>
          </xdr:cNvPr>
          <xdr:cNvCxnSpPr/>
        </xdr:nvCxnSpPr>
        <xdr:spPr>
          <a:xfrm flipV="1">
            <a:off x="51784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Tip Text 23" descr="Tip text &quot;A row field breaks down...&quot;&#10;">
            <a:extLst>
              <a:ext uri="{FF2B5EF4-FFF2-40B4-BE49-F238E27FC236}">
                <a16:creationId xmlns:a16="http://schemas.microsoft.com/office/drawing/2014/main" id="{00000000-0008-0000-1600-00000F000000}"/>
              </a:ext>
            </a:extLst>
          </xdr:cNvPr>
          <xdr:cNvSpPr txBox="1"/>
        </xdr:nvSpPr>
        <xdr:spPr>
          <a:xfrm>
            <a:off x="4295776" y="1143000"/>
            <a:ext cx="1765299"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row</a:t>
            </a:r>
            <a:r>
              <a:rPr lang="en-US" sz="1100" noProof="0">
                <a:effectLst/>
                <a:latin typeface="+mj-lt"/>
                <a:ea typeface="Calibri" panose="020F0502020204030204" pitchFamily="34" charset="0"/>
                <a:cs typeface="Times New Roman" panose="02020603050405020304" pitchFamily="18" charset="0"/>
              </a:rPr>
              <a:t> </a:t>
            </a:r>
            <a:r>
              <a:rPr lang="en-US" sz="1100" b="1" noProof="0">
                <a:effectLst/>
                <a:latin typeface="+mj-lt"/>
                <a:ea typeface="Calibri" panose="020F0502020204030204" pitchFamily="34" charset="0"/>
                <a:cs typeface="Times New Roman" panose="02020603050405020304" pitchFamily="18" charset="0"/>
              </a:rPr>
              <a:t>field</a:t>
            </a:r>
            <a:r>
              <a:rPr lang="en-US" sz="1100" noProof="0">
                <a:effectLst/>
                <a:latin typeface="+mj-lt"/>
                <a:ea typeface="Calibri" panose="020F0502020204030204" pitchFamily="34" charset="0"/>
                <a:cs typeface="Times New Roman" panose="02020603050405020304" pitchFamily="18" charset="0"/>
              </a:rPr>
              <a:t> breaks down...</a:t>
            </a:r>
          </a:p>
        </xdr:txBody>
      </xdr:sp>
    </xdr:grpSp>
    <xdr:clientData/>
  </xdr:absoluteAnchor>
  <xdr:absoluteAnchor>
    <xdr:pos x="3451670" y="4055650"/>
    <xdr:ext cx="1227455" cy="182880"/>
    <xdr:sp macro="" textlink="">
      <xdr:nvSpPr>
        <xdr:cNvPr id="16"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600-000010000000}"/>
            </a:ext>
          </a:extLst>
        </xdr:cNvPr>
        <xdr:cNvSpPr/>
      </xdr:nvSpPr>
      <xdr:spPr>
        <a:xfrm>
          <a:off x="3451670" y="4055650"/>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6.xml><?xml version="1.0" encoding="utf-8"?>
<xdr:wsDr xmlns:xdr="http://schemas.openxmlformats.org/drawingml/2006/spreadsheetDrawing" xmlns:a="http://schemas.openxmlformats.org/drawingml/2006/main">
  <xdr:absoluteAnchor>
    <xdr:pos x="5251450" y="1041401"/>
    <xdr:ext cx="2616201" cy="4963150"/>
    <xdr:pic>
      <xdr:nvPicPr>
        <xdr:cNvPr id="2" name="PivotTable Fields 1" descr="PivotTable Fields List. The fields &quot;Date,&quot; &quot;Buyer,&quot; Type,&quot; and &quot;Amount&quot; are listed at the top">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51450" y="1041401"/>
          <a:ext cx="2616201" cy="4963150"/>
        </a:xfrm>
        <a:prstGeom prst="rect">
          <a:avLst/>
        </a:prstGeom>
      </xdr:spPr>
    </xdr:pic>
    <xdr:clientData/>
  </xdr:absoluteAnchor>
  <xdr:absoluteAnchor>
    <xdr:pos x="0" y="0"/>
    <xdr:ext cx="8133969" cy="770128"/>
    <xdr:sp macro="" textlink="">
      <xdr:nvSpPr>
        <xdr:cNvPr id="3" name="Header" descr="When you create a PivotTable in a moment, you'll see the PivotTable Fields List. It's not just a list though, it's a more like a panel. At the top you'll see the fields from your data">
          <a:extLst>
            <a:ext uri="{FF2B5EF4-FFF2-40B4-BE49-F238E27FC236}">
              <a16:creationId xmlns:a16="http://schemas.microsoft.com/office/drawing/2014/main" id="{00000000-0008-0000-1700-000003000000}"/>
            </a:ext>
          </a:extLst>
        </xdr:cNvPr>
        <xdr:cNvSpPr txBox="1"/>
      </xdr:nvSpPr>
      <xdr:spPr>
        <a:xfrm>
          <a:off x="0" y="0"/>
          <a:ext cx="81339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When you create a PivotTable </a:t>
          </a:r>
          <a:r>
            <a:rPr kumimoji="0" lang="en-US" sz="1500" b="0"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in a moment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you'll see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PivotTable Fields List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It's not just a list though, it's a more like a panel. At the top you'll see the fields from your data. </a:t>
          </a:r>
        </a:p>
      </xdr:txBody>
    </xdr:sp>
    <xdr:clientData/>
  </xdr:absoluteAnchor>
  <xdr:absoluteAnchor>
    <xdr:pos x="0" y="6261100"/>
    <xdr:ext cx="8133969" cy="648462"/>
    <xdr:sp macro="" textlink="">
      <xdr:nvSpPr>
        <xdr:cNvPr id="4" name="Footer" descr="Background">
          <a:extLst>
            <a:ext uri="{FF2B5EF4-FFF2-40B4-BE49-F238E27FC236}">
              <a16:creationId xmlns:a16="http://schemas.microsoft.com/office/drawing/2014/main" id="{00000000-0008-0000-1700-000004000000}"/>
            </a:ext>
          </a:extLst>
        </xdr:cNvPr>
        <xdr:cNvSpPr txBox="1"/>
      </xdr:nvSpPr>
      <xdr:spPr>
        <a:xfrm>
          <a:off x="0" y="6261100"/>
          <a:ext cx="81339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33426" y="6409325"/>
    <xdr:ext cx="1271016" cy="340741"/>
    <xdr:sp macro="" textlink="">
      <xdr:nvSpPr>
        <xdr:cNvPr id="5"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1700-000005000000}"/>
            </a:ext>
          </a:extLst>
        </xdr:cNvPr>
        <xdr:cNvSpPr/>
      </xdr:nvSpPr>
      <xdr:spPr>
        <a:xfrm>
          <a:off x="6333426"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20509" y="6412500"/>
    <xdr:ext cx="1295908" cy="340741"/>
    <xdr:sp macro="" textlink="">
      <xdr:nvSpPr>
        <xdr:cNvPr id="6" name="Previous Button" descr="Previous step button, hyperlinked to previous sheet">
          <a:hlinkClick xmlns:r="http://schemas.openxmlformats.org/officeDocument/2006/relationships" r:id="rId3" tooltip="Select to go to the previous step"/>
          <a:extLst>
            <a:ext uri="{FF2B5EF4-FFF2-40B4-BE49-F238E27FC236}">
              <a16:creationId xmlns:a16="http://schemas.microsoft.com/office/drawing/2014/main" id="{00000000-0008-0000-1700-000006000000}"/>
            </a:ext>
          </a:extLst>
        </xdr:cNvPr>
        <xdr:cNvSpPr/>
      </xdr:nvSpPr>
      <xdr:spPr>
        <a:xfrm flipH="1">
          <a:off x="520509"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1143000" y="2305050"/>
    <xdr:ext cx="2816225" cy="339725"/>
    <xdr:sp macro="" textlink="">
      <xdr:nvSpPr>
        <xdr:cNvPr id="7" name="Rectangle: Rounded Corners 1" descr="Dashed border surrounding Expenses13 table heading">
          <a:extLst>
            <a:ext uri="{FF2B5EF4-FFF2-40B4-BE49-F238E27FC236}">
              <a16:creationId xmlns:a16="http://schemas.microsoft.com/office/drawing/2014/main" id="{00000000-0008-0000-1700-000007000000}"/>
            </a:ext>
          </a:extLst>
        </xdr:cNvPr>
        <xdr:cNvSpPr/>
      </xdr:nvSpPr>
      <xdr:spPr>
        <a:xfrm>
          <a:off x="1143000" y="2305050"/>
          <a:ext cx="2816225" cy="339725"/>
        </a:xfrm>
        <a:prstGeom prst="roundRect">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absoluteAnchor>
  <xdr:absoluteAnchor>
    <xdr:pos x="2906482" y="1635125"/>
    <xdr:ext cx="2604414" cy="1349350"/>
    <xdr:grpSp>
      <xdr:nvGrpSpPr>
        <xdr:cNvPr id="8" name="Tip Text Group 26" descr="Tip text &quot;...and then lists the fields, by name, here&quot; has an arrow arcing from Expenses13 table to PivotTable Fields List">
          <a:extLst>
            <a:ext uri="{FF2B5EF4-FFF2-40B4-BE49-F238E27FC236}">
              <a16:creationId xmlns:a16="http://schemas.microsoft.com/office/drawing/2014/main" id="{00000000-0008-0000-1700-000008000000}"/>
            </a:ext>
          </a:extLst>
        </xdr:cNvPr>
        <xdr:cNvGrpSpPr/>
      </xdr:nvGrpSpPr>
      <xdr:grpSpPr>
        <a:xfrm>
          <a:off x="2906482" y="1635125"/>
          <a:ext cx="2604414" cy="1349350"/>
          <a:chOff x="2792182" y="1685925"/>
          <a:chExt cx="2467889" cy="1400150"/>
        </a:xfrm>
      </xdr:grpSpPr>
      <xdr:sp macro="" textlink="">
        <xdr:nvSpPr>
          <xdr:cNvPr id="9" name="Arc 1" descr="Dashed arc">
            <a:extLst>
              <a:ext uri="{FF2B5EF4-FFF2-40B4-BE49-F238E27FC236}">
                <a16:creationId xmlns:a16="http://schemas.microsoft.com/office/drawing/2014/main" id="{00000000-0008-0000-1700-000009000000}"/>
              </a:ext>
            </a:extLst>
          </xdr:cNvPr>
          <xdr:cNvSpPr/>
        </xdr:nvSpPr>
        <xdr:spPr>
          <a:xfrm rot="19273791" flipH="1">
            <a:off x="2792182" y="2005422"/>
            <a:ext cx="754824" cy="747784"/>
          </a:xfrm>
          <a:prstGeom prst="arc">
            <a:avLst>
              <a:gd name="adj1" fmla="val 13291449"/>
              <a:gd name="adj2" fmla="val 19240905"/>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Arrow Arc 6" descr="Arrow arc'd">
            <a:extLst>
              <a:ext uri="{FF2B5EF4-FFF2-40B4-BE49-F238E27FC236}">
                <a16:creationId xmlns:a16="http://schemas.microsoft.com/office/drawing/2014/main" id="{00000000-0008-0000-1700-00000A000000}"/>
              </a:ext>
            </a:extLst>
          </xdr:cNvPr>
          <xdr:cNvSpPr/>
        </xdr:nvSpPr>
        <xdr:spPr>
          <a:xfrm rot="2644255" flipH="1">
            <a:off x="4028402" y="1993442"/>
            <a:ext cx="1231669" cy="1092633"/>
          </a:xfrm>
          <a:prstGeom prst="arc">
            <a:avLst>
              <a:gd name="adj1" fmla="val 15324255"/>
              <a:gd name="adj2" fmla="val 21101402"/>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 name="Tip Text 26" descr="Tip text &quot;...and then lists the fields, by name, here&quot;">
            <a:extLst>
              <a:ext uri="{FF2B5EF4-FFF2-40B4-BE49-F238E27FC236}">
                <a16:creationId xmlns:a16="http://schemas.microsoft.com/office/drawing/2014/main" id="{00000000-0008-0000-1700-00000B000000}"/>
              </a:ext>
            </a:extLst>
          </xdr:cNvPr>
          <xdr:cNvSpPr txBox="1"/>
        </xdr:nvSpPr>
        <xdr:spPr>
          <a:xfrm>
            <a:off x="3038476" y="1685925"/>
            <a:ext cx="1638300" cy="615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...and then lists the fields, by name, here.</a:t>
            </a:r>
          </a:p>
        </xdr:txBody>
      </xdr:sp>
    </xdr:grpSp>
    <xdr:clientData/>
  </xdr:absoluteAnchor>
  <xdr:absoluteAnchor>
    <xdr:pos x="266700" y="1625601"/>
    <xdr:ext cx="1885951" cy="1039544"/>
    <xdr:grpSp>
      <xdr:nvGrpSpPr>
        <xdr:cNvPr id="12" name="Tip Text Group 25" descr="Tip text &quot;Excel looks at your data&quot; has an arc'd arrow pointing to Expenses13 table">
          <a:extLst>
            <a:ext uri="{FF2B5EF4-FFF2-40B4-BE49-F238E27FC236}">
              <a16:creationId xmlns:a16="http://schemas.microsoft.com/office/drawing/2014/main" id="{00000000-0008-0000-1700-00000C000000}"/>
            </a:ext>
          </a:extLst>
        </xdr:cNvPr>
        <xdr:cNvGrpSpPr/>
      </xdr:nvGrpSpPr>
      <xdr:grpSpPr>
        <a:xfrm>
          <a:off x="266700" y="1625601"/>
          <a:ext cx="1885951" cy="1039544"/>
          <a:chOff x="266700" y="1625601"/>
          <a:chExt cx="1885951" cy="1039544"/>
        </a:xfrm>
      </xdr:grpSpPr>
      <xdr:sp macro="" textlink="">
        <xdr:nvSpPr>
          <xdr:cNvPr id="13" name="Arrow Arc 5" descr="Arrow">
            <a:extLst>
              <a:ext uri="{FF2B5EF4-FFF2-40B4-BE49-F238E27FC236}">
                <a16:creationId xmlns:a16="http://schemas.microsoft.com/office/drawing/2014/main" id="{00000000-0008-0000-1700-00000D000000}"/>
              </a:ext>
            </a:extLst>
          </xdr:cNvPr>
          <xdr:cNvSpPr/>
        </xdr:nvSpPr>
        <xdr:spPr>
          <a:xfrm rot="4300397" flipH="1">
            <a:off x="1499393" y="2107407"/>
            <a:ext cx="610920" cy="504555"/>
          </a:xfrm>
          <a:prstGeom prst="arc">
            <a:avLst>
              <a:gd name="adj1" fmla="val 1626698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4" name="Tip Text 25" descr="Excel looks at your data...&#10;">
            <a:extLst>
              <a:ext uri="{FF2B5EF4-FFF2-40B4-BE49-F238E27FC236}">
                <a16:creationId xmlns:a16="http://schemas.microsoft.com/office/drawing/2014/main" id="{00000000-0008-0000-1700-00000E000000}"/>
              </a:ext>
            </a:extLst>
          </xdr:cNvPr>
          <xdr:cNvSpPr txBox="1"/>
        </xdr:nvSpPr>
        <xdr:spPr>
          <a:xfrm>
            <a:off x="266700" y="1625601"/>
            <a:ext cx="1885951" cy="45719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a:t>
            </a:r>
            <a:r>
              <a:rPr lang="en-US" b="1" baseline="0" noProof="0"/>
              <a:t> </a:t>
            </a:r>
            <a:r>
              <a:rPr lang="en-US" baseline="0" noProof="0"/>
              <a:t>looks at your data...</a:t>
            </a:r>
            <a:endParaRPr lang="en-US" noProof="0"/>
          </a:p>
        </xdr:txBody>
      </xdr:sp>
    </xdr:grpSp>
    <xdr:clientData/>
  </xdr:absoluteAnchor>
  <xdr:absoluteAnchor>
    <xdr:pos x="3438970" y="6719476"/>
    <xdr:ext cx="1227455" cy="182880"/>
    <xdr:sp macro="" textlink="">
      <xdr:nvSpPr>
        <xdr:cNvPr id="15"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700-00000F000000}"/>
            </a:ext>
          </a:extLst>
        </xdr:cNvPr>
        <xdr:cNvSpPr/>
      </xdr:nvSpPr>
      <xdr:spPr>
        <a:xfrm>
          <a:off x="3438970" y="6719476"/>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7.xml><?xml version="1.0" encoding="utf-8"?>
<xdr:wsDr xmlns:xdr="http://schemas.openxmlformats.org/drawingml/2006/spreadsheetDrawing" xmlns:a="http://schemas.openxmlformats.org/drawingml/2006/main">
  <xdr:absoluteAnchor>
    <xdr:pos x="0" y="0"/>
    <xdr:ext cx="8130794" cy="777240"/>
    <xdr:sp macro="" textlink="">
      <xdr:nvSpPr>
        <xdr:cNvPr id="2" name="Header" descr="Don't do this now but in a couple steps, you'll work with a PivotTable. The first thing you'll do is create a value field. You'll do that by dragging the Amount field to the Values area&#10;">
          <a:extLst>
            <a:ext uri="{FF2B5EF4-FFF2-40B4-BE49-F238E27FC236}">
              <a16:creationId xmlns:a16="http://schemas.microsoft.com/office/drawing/2014/main" id="{00000000-0008-0000-1800-000002000000}"/>
            </a:ext>
          </a:extLst>
        </xdr:cNvPr>
        <xdr:cNvSpPr txBox="1"/>
      </xdr:nvSpPr>
      <xdr:spPr>
        <a:xfrm>
          <a:off x="0" y="0"/>
          <a:ext cx="8130794" cy="77724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Don't do this now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in a couple steps, you'll work with a PivotTable. The first thing you'll do is create a value field. You'll do that by dragging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area.</a:t>
          </a:r>
        </a:p>
      </xdr:txBody>
    </xdr:sp>
    <xdr:clientData/>
  </xdr:absoluteAnchor>
  <xdr:absoluteAnchor>
    <xdr:pos x="0" y="6256749"/>
    <xdr:ext cx="8130794" cy="642112"/>
    <xdr:sp macro="" textlink="">
      <xdr:nvSpPr>
        <xdr:cNvPr id="3" name="Footer" descr="Background">
          <a:extLst>
            <a:ext uri="{FF2B5EF4-FFF2-40B4-BE49-F238E27FC236}">
              <a16:creationId xmlns:a16="http://schemas.microsoft.com/office/drawing/2014/main" id="{00000000-0008-0000-1800-000003000000}"/>
            </a:ext>
          </a:extLst>
        </xdr:cNvPr>
        <xdr:cNvSpPr txBox="1"/>
      </xdr:nvSpPr>
      <xdr:spPr>
        <a:xfrm>
          <a:off x="0" y="6256749"/>
          <a:ext cx="813079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31839" y="6414500"/>
    <xdr:ext cx="1271016" cy="341724"/>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800-000004000000}"/>
            </a:ext>
          </a:extLst>
        </xdr:cNvPr>
        <xdr:cNvSpPr/>
      </xdr:nvSpPr>
      <xdr:spPr>
        <a:xfrm>
          <a:off x="6331839" y="6414500"/>
          <a:ext cx="1271016"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18922" y="6414500"/>
    <xdr:ext cx="1264158" cy="341724"/>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800-000005000000}"/>
            </a:ext>
          </a:extLst>
        </xdr:cNvPr>
        <xdr:cNvSpPr/>
      </xdr:nvSpPr>
      <xdr:spPr>
        <a:xfrm flipH="1">
          <a:off x="518922" y="6414500"/>
          <a:ext cx="1264158"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5149850" y="1050925"/>
    <xdr:ext cx="2578100" cy="4887632"/>
    <xdr:pic>
      <xdr:nvPicPr>
        <xdr:cNvPr id="6" name="PivotTable Fields 2" descr="A PivotTable Fields List image shows an arrow cursor dragging the Amount field to the Values area&#10;">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5149850" y="1050925"/>
          <a:ext cx="2578100" cy="4887632"/>
        </a:xfrm>
        <a:prstGeom prst="rect">
          <a:avLst/>
        </a:prstGeom>
        <a:noFill/>
        <a:extLst>
          <a:ext uri="{909E8E84-426E-40DD-AFC4-6F175D3DCCD1}">
            <a14:hiddenFill xmlns:a14="http://schemas.microsoft.com/office/drawing/2010/main">
              <a:solidFill>
                <a:srgbClr val="FFFFFF"/>
              </a:solidFill>
            </a14:hiddenFill>
          </a:ext>
        </a:extLst>
      </xdr:spPr>
    </xdr:pic>
    <xdr:clientData/>
  </xdr:absoluteAnchor>
  <xdr:absoluteAnchor>
    <xdr:pos x="3435795" y="6727824"/>
    <xdr:ext cx="1230630" cy="182880"/>
    <xdr:sp macro="" textlink="">
      <xdr:nvSpPr>
        <xdr:cNvPr id="7"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800-000007000000}"/>
            </a:ext>
          </a:extLst>
        </xdr:cNvPr>
        <xdr:cNvSpPr/>
      </xdr:nvSpPr>
      <xdr:spPr>
        <a:xfrm>
          <a:off x="3435795" y="6727824"/>
          <a:ext cx="1230630"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absoluteAnchor>
    <xdr:pos x="1075999" y="1809749"/>
    <xdr:ext cx="3153101" cy="2238375"/>
    <xdr:grpSp>
      <xdr:nvGrpSpPr>
        <xdr:cNvPr id="8" name="Tip Text Group 27" descr="Stars image&#10;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1800-000008000000}"/>
            </a:ext>
          </a:extLst>
        </xdr:cNvPr>
        <xdr:cNvGrpSpPr/>
      </xdr:nvGrpSpPr>
      <xdr:grpSpPr>
        <a:xfrm>
          <a:off x="1075999" y="1809749"/>
          <a:ext cx="3153101" cy="2238375"/>
          <a:chOff x="1075999" y="1809749"/>
          <a:chExt cx="3153101" cy="2238375"/>
        </a:xfrm>
      </xdr:grpSpPr>
      <xdr:sp macro="" textlink="">
        <xdr:nvSpPr>
          <xdr:cNvPr id="9" name="Tip Text 27" descr="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1800-000009000000}"/>
              </a:ext>
            </a:extLst>
          </xdr:cNvPr>
          <xdr:cNvSpPr txBox="1"/>
        </xdr:nvSpPr>
        <xdr:spPr>
          <a:xfrm>
            <a:off x="1505762" y="1809749"/>
            <a:ext cx="2723338" cy="223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BEST PRACTICE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If you're ever unsure how to start a PivotTable, think about creating the value field first.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Fields that are best for value fields are ones with numerical amounts. In this example, </a:t>
            </a:r>
            <a:r>
              <a:rPr lang="en-US" sz="1100" b="1" i="0" kern="1200" baseline="0">
                <a:solidFill>
                  <a:schemeClr val="dk1"/>
                </a:solidFill>
                <a:effectLst/>
                <a:latin typeface="+mn-lt"/>
                <a:ea typeface="+mn-ea"/>
                <a:cs typeface="+mn-cs"/>
              </a:rPr>
              <a:t>Amount</a:t>
            </a:r>
            <a:r>
              <a:rPr lang="en-US" sz="1100" b="0" i="0" kern="1200" baseline="0">
                <a:solidFill>
                  <a:schemeClr val="dk1"/>
                </a:solidFill>
                <a:effectLst/>
                <a:latin typeface="+mn-lt"/>
                <a:ea typeface="+mn-ea"/>
                <a:cs typeface="+mn-cs"/>
              </a:rPr>
              <a:t> is the best one.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other fields (Date, Buyer, Type) don't contain numerical values, so they aren't the best ones to use for the value field.  </a:t>
            </a:r>
          </a:p>
        </xdr:txBody>
      </xdr:sp>
      <xdr:pic>
        <xdr:nvPicPr>
          <xdr:cNvPr id="10" name="Stars" descr="Stars">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5999" y="1828801"/>
            <a:ext cx="481128" cy="383820"/>
          </a:xfrm>
          <a:prstGeom prst="rect">
            <a:avLst/>
          </a:prstGeom>
        </xdr:spPr>
      </xdr:pic>
    </xdr:grpSp>
    <xdr:clientData/>
  </xdr:absoluteAnchor>
</xdr:wsDr>
</file>

<file path=xl/drawings/drawing18.xml><?xml version="1.0" encoding="utf-8"?>
<xdr:wsDr xmlns:xdr="http://schemas.openxmlformats.org/drawingml/2006/spreadsheetDrawing" xmlns:a="http://schemas.openxmlformats.org/drawingml/2006/main">
  <xdr:absoluteAnchor>
    <xdr:pos x="0" y="0"/>
    <xdr:ext cx="8143494" cy="770128"/>
    <xdr:sp macro="" textlink="">
      <xdr:nvSpPr>
        <xdr:cNvPr id="2" name="Header" descr="After you drag the field to the Values area, &quot;Sum of Am...&quot; will appear at the bottom of the PivotTable Fields List. (Sometimes Excel doesn't have room to show the full name, which is really &quot;Sum of Amount.&quot;)">
          <a:extLst>
            <a:ext uri="{FF2B5EF4-FFF2-40B4-BE49-F238E27FC236}">
              <a16:creationId xmlns:a16="http://schemas.microsoft.com/office/drawing/2014/main" id="{00000000-0008-0000-1900-000002000000}"/>
            </a:ext>
          </a:extLst>
        </xdr:cNvPr>
        <xdr:cNvSpPr txBox="1"/>
      </xdr:nvSpPr>
      <xdr:spPr>
        <a:xfrm>
          <a:off x="0" y="0"/>
          <a:ext cx="814349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After you drag the field to the Values area,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 will appear at the bottom of the PivotTable Fields List. (Sometimes Excel doesn't have room to show the full name, which is really "Sum of Amount.")</a:t>
          </a:r>
        </a:p>
      </xdr:txBody>
    </xdr:sp>
    <xdr:clientData/>
  </xdr:absoluteAnchor>
  <xdr:absoluteAnchor>
    <xdr:pos x="0" y="6261099"/>
    <xdr:ext cx="8143494" cy="640080"/>
    <xdr:sp macro="" textlink="">
      <xdr:nvSpPr>
        <xdr:cNvPr id="3" name="Step" descr="Background">
          <a:extLst>
            <a:ext uri="{FF2B5EF4-FFF2-40B4-BE49-F238E27FC236}">
              <a16:creationId xmlns:a16="http://schemas.microsoft.com/office/drawing/2014/main" id="{00000000-0008-0000-1900-000003000000}"/>
            </a:ext>
          </a:extLst>
        </xdr:cNvPr>
        <xdr:cNvSpPr txBox="1"/>
      </xdr:nvSpPr>
      <xdr:spPr>
        <a:xfrm>
          <a:off x="0" y="6261099"/>
          <a:ext cx="81434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1364" y="6407738"/>
    <xdr:ext cx="1271016" cy="347091"/>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900-000004000000}"/>
            </a:ext>
          </a:extLst>
        </xdr:cNvPr>
        <xdr:cNvSpPr/>
      </xdr:nvSpPr>
      <xdr:spPr>
        <a:xfrm>
          <a:off x="6341364" y="6407738"/>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25272" y="6412500"/>
    <xdr:ext cx="1295908" cy="340741"/>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900-000005000000}"/>
            </a:ext>
          </a:extLst>
        </xdr:cNvPr>
        <xdr:cNvSpPr/>
      </xdr:nvSpPr>
      <xdr:spPr>
        <a:xfrm flipH="1">
          <a:off x="525272"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5041900" y="1054101"/>
    <xdr:ext cx="2551866" cy="4895849"/>
    <xdr:pic>
      <xdr:nvPicPr>
        <xdr:cNvPr id="6" name="Picture 5" descr="PivotTable Fields List image shows &quot;Sum of Am…&quot; highlighted in the Values area&#10;">
          <a:extLst>
            <a:ext uri="{FF2B5EF4-FFF2-40B4-BE49-F238E27FC236}">
              <a16:creationId xmlns:a16="http://schemas.microsoft.com/office/drawing/2014/main" id="{00000000-0008-0000-19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5041900" y="1054101"/>
          <a:ext cx="2551866" cy="4895849"/>
        </a:xfrm>
        <a:prstGeom prst="rect">
          <a:avLst/>
        </a:prstGeom>
        <a:noFill/>
        <a:extLst>
          <a:ext uri="{909E8E84-426E-40DD-AFC4-6F175D3DCCD1}">
            <a14:hiddenFill xmlns:a14="http://schemas.microsoft.com/office/drawing/2010/main">
              <a:solidFill>
                <a:srgbClr val="FFFFFF"/>
              </a:solidFill>
            </a14:hiddenFill>
          </a:ext>
        </a:extLst>
      </xdr:spPr>
    </xdr:pic>
    <xdr:clientData/>
  </xdr:absoluteAnchor>
  <xdr:absoluteAnchor>
    <xdr:pos x="1219200" y="1289050"/>
    <xdr:ext cx="2720975" cy="700768"/>
    <xdr:grpSp>
      <xdr:nvGrpSpPr>
        <xdr:cNvPr id="7" name="Tip Text Group 28" descr="Tip text &quot;Creating a value field sums up the Amount field and makes a small PivotTable like this&quot; has an arrow pointing to PivotTable Sum of Amount field">
          <a:extLst>
            <a:ext uri="{FF2B5EF4-FFF2-40B4-BE49-F238E27FC236}">
              <a16:creationId xmlns:a16="http://schemas.microsoft.com/office/drawing/2014/main" id="{00000000-0008-0000-1900-000007000000}"/>
            </a:ext>
          </a:extLst>
        </xdr:cNvPr>
        <xdr:cNvGrpSpPr/>
      </xdr:nvGrpSpPr>
      <xdr:grpSpPr>
        <a:xfrm>
          <a:off x="1219200" y="1289050"/>
          <a:ext cx="2720975" cy="700768"/>
          <a:chOff x="1219200" y="1289050"/>
          <a:chExt cx="2720975" cy="700768"/>
        </a:xfrm>
      </xdr:grpSpPr>
      <xdr:sp macro="" textlink="">
        <xdr:nvSpPr>
          <xdr:cNvPr id="8" name="Tip Text 28" descr="Tip text &quot;Creating a value field sums up the Amount field and makes a small PivotTable like this&quot;&#10;">
            <a:extLst>
              <a:ext uri="{FF2B5EF4-FFF2-40B4-BE49-F238E27FC236}">
                <a16:creationId xmlns:a16="http://schemas.microsoft.com/office/drawing/2014/main" id="{00000000-0008-0000-1900-000008000000}"/>
              </a:ext>
            </a:extLst>
          </xdr:cNvPr>
          <xdr:cNvSpPr txBox="1"/>
        </xdr:nvSpPr>
        <xdr:spPr>
          <a:xfrm>
            <a:off x="1219200" y="1289050"/>
            <a:ext cx="2720975"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eaLnBrk="1" fontAlgn="auto" latinLnBrk="0" hangingPunct="1"/>
            <a:r>
              <a:rPr lang="en-US" sz="1100">
                <a:effectLst/>
                <a:latin typeface="+mn-lt"/>
                <a:ea typeface="+mn-ea"/>
                <a:cs typeface="+mn-cs"/>
              </a:rPr>
              <a:t>Creating</a:t>
            </a:r>
            <a:r>
              <a:rPr lang="en-US" sz="1100" baseline="0">
                <a:effectLst/>
                <a:latin typeface="+mn-lt"/>
                <a:ea typeface="+mn-ea"/>
                <a:cs typeface="+mn-cs"/>
              </a:rPr>
              <a:t> a value field sums up the </a:t>
            </a:r>
            <a:r>
              <a:rPr lang="en-US" sz="1100" b="1" baseline="0">
                <a:effectLst/>
                <a:latin typeface="+mn-lt"/>
                <a:ea typeface="+mn-ea"/>
                <a:cs typeface="+mn-cs"/>
              </a:rPr>
              <a:t>Amount</a:t>
            </a:r>
            <a:r>
              <a:rPr lang="en-US" sz="1100" baseline="0">
                <a:effectLst/>
                <a:latin typeface="+mn-lt"/>
                <a:ea typeface="+mn-ea"/>
                <a:cs typeface="+mn-cs"/>
              </a:rPr>
              <a:t> field and makes a small PivotTable like this. </a:t>
            </a:r>
            <a:endParaRPr lang="en-US">
              <a:effectLst/>
            </a:endParaRPr>
          </a:p>
        </xdr:txBody>
      </xdr:sp>
      <xdr:cxnSp macro="">
        <xdr:nvCxnSpPr>
          <xdr:cNvPr id="9" name="Straight Arrow Connector 10" descr="Arrow">
            <a:extLst>
              <a:ext uri="{FF2B5EF4-FFF2-40B4-BE49-F238E27FC236}">
                <a16:creationId xmlns:a16="http://schemas.microsoft.com/office/drawing/2014/main" id="{00000000-0008-0000-1900-000009000000}"/>
              </a:ext>
            </a:extLst>
          </xdr:cNvPr>
          <xdr:cNvCxnSpPr/>
        </xdr:nvCxnSpPr>
        <xdr:spPr>
          <a:xfrm flipV="1">
            <a:off x="3038475" y="17993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absoluteAnchor>
  <xdr:absoluteAnchor>
    <xdr:pos x="3437382" y="6716301"/>
    <xdr:ext cx="1252855" cy="182880"/>
    <xdr:sp macro="" textlink="">
      <xdr:nvSpPr>
        <xdr:cNvPr id="10" name="Next Button"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900-00000A000000}"/>
            </a:ext>
          </a:extLst>
        </xdr:cNvPr>
        <xdr:cNvSpPr/>
      </xdr:nvSpPr>
      <xdr:spPr>
        <a:xfrm>
          <a:off x="3437382" y="6716301"/>
          <a:ext cx="12528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19.xml><?xml version="1.0" encoding="utf-8"?>
<xdr:wsDr xmlns:xdr="http://schemas.openxmlformats.org/drawingml/2006/spreadsheetDrawing" xmlns:a="http://schemas.openxmlformats.org/drawingml/2006/main">
  <xdr:absoluteAnchor>
    <xdr:pos x="0" y="0"/>
    <xdr:ext cx="8143494" cy="770128"/>
    <xdr:sp macro="" textlink="">
      <xdr:nvSpPr>
        <xdr:cNvPr id="2" name="Header" descr="Then you'll want a condition to divide the value field by. And to do that, you drag any of the other fields down to the Rows area">
          <a:extLst>
            <a:ext uri="{FF2B5EF4-FFF2-40B4-BE49-F238E27FC236}">
              <a16:creationId xmlns:a16="http://schemas.microsoft.com/office/drawing/2014/main" id="{00000000-0008-0000-1A00-000002000000}"/>
            </a:ext>
          </a:extLst>
        </xdr:cNvPr>
        <xdr:cNvSpPr txBox="1"/>
      </xdr:nvSpPr>
      <xdr:spPr>
        <a:xfrm>
          <a:off x="0" y="0"/>
          <a:ext cx="814349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Then you'll want a condition to divide the value field by.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And to do that, you'd drag any of the other fields down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area. </a:t>
          </a:r>
        </a:p>
      </xdr:txBody>
    </xdr:sp>
    <xdr:clientData/>
  </xdr:absoluteAnchor>
  <xdr:absoluteAnchor>
    <xdr:pos x="0" y="6261100"/>
    <xdr:ext cx="8143494" cy="648462"/>
    <xdr:sp macro="" textlink="">
      <xdr:nvSpPr>
        <xdr:cNvPr id="3" name="Footer" descr="Background">
          <a:extLst>
            <a:ext uri="{FF2B5EF4-FFF2-40B4-BE49-F238E27FC236}">
              <a16:creationId xmlns:a16="http://schemas.microsoft.com/office/drawing/2014/main" id="{00000000-0008-0000-1A00-000003000000}"/>
            </a:ext>
          </a:extLst>
        </xdr:cNvPr>
        <xdr:cNvSpPr txBox="1"/>
      </xdr:nvSpPr>
      <xdr:spPr>
        <a:xfrm>
          <a:off x="0" y="6261100"/>
          <a:ext cx="81434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1364" y="6409325"/>
    <xdr:ext cx="1271016" cy="340741"/>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A00-000004000000}"/>
            </a:ext>
          </a:extLst>
        </xdr:cNvPr>
        <xdr:cNvSpPr/>
      </xdr:nvSpPr>
      <xdr:spPr>
        <a:xfrm>
          <a:off x="6341364"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25272" y="6414087"/>
    <xdr:ext cx="1295908" cy="340741"/>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A00-000005000000}"/>
            </a:ext>
          </a:extLst>
        </xdr:cNvPr>
        <xdr:cNvSpPr/>
      </xdr:nvSpPr>
      <xdr:spPr>
        <a:xfrm flipH="1">
          <a:off x="525272"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5156201" y="1054101"/>
    <xdr:ext cx="2549524" cy="4887836"/>
    <xdr:pic>
      <xdr:nvPicPr>
        <xdr:cNvPr id="6" name="PivotTable Fields 3" descr="PivotTable Fields List image shows an arrow cursor dragging the Buyer field to the Rows area. The Rows area is highlighted&#10;">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5156201" y="1054101"/>
          <a:ext cx="2549524" cy="4887836"/>
        </a:xfrm>
        <a:prstGeom prst="rect">
          <a:avLst/>
        </a:prstGeom>
        <a:noFill/>
        <a:extLst>
          <a:ext uri="{909E8E84-426E-40DD-AFC4-6F175D3DCCD1}">
            <a14:hiddenFill xmlns:a14="http://schemas.microsoft.com/office/drawing/2010/main">
              <a:solidFill>
                <a:srgbClr val="FFFFFF"/>
              </a:solidFill>
            </a14:hiddenFill>
          </a:ext>
        </a:extLst>
      </xdr:spPr>
    </xdr:pic>
    <xdr:clientData/>
  </xdr:absoluteAnchor>
  <xdr:absoluteAnchor>
    <xdr:pos x="3454845" y="6719476"/>
    <xdr:ext cx="1217930" cy="182880"/>
    <xdr:sp macro="" textlink="">
      <xdr:nvSpPr>
        <xdr:cNvPr id="7"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A00-000007000000}"/>
            </a:ext>
          </a:extLst>
        </xdr:cNvPr>
        <xdr:cNvSpPr/>
      </xdr:nvSpPr>
      <xdr:spPr>
        <a:xfrm>
          <a:off x="3454845" y="6719476"/>
          <a:ext cx="1217930"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20.xml><?xml version="1.0" encoding="utf-8"?>
<xdr:wsDr xmlns:xdr="http://schemas.openxmlformats.org/drawingml/2006/spreadsheetDrawing" xmlns:a="http://schemas.openxmlformats.org/drawingml/2006/main">
  <xdr:absoluteAnchor>
    <xdr:pos x="0" y="0"/>
    <xdr:ext cx="8146669" cy="770128"/>
    <xdr:sp macro="" textlink="">
      <xdr:nvSpPr>
        <xdr:cNvPr id="2" name="Header" descr="Now that the Buyer field is in the Rows area, you'll see that the PivotTable shows each buyer's amount. You'll see how easy this is in a second...and the great part about this is it doesn't require typing any formulas!&#10;">
          <a:extLst>
            <a:ext uri="{FF2B5EF4-FFF2-40B4-BE49-F238E27FC236}">
              <a16:creationId xmlns:a16="http://schemas.microsoft.com/office/drawing/2014/main" id="{00000000-0008-0000-1B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Now that the Buyer field is in the Rows area, </a:t>
          </a:r>
          <a:r>
            <a:rPr kumimoji="0" lang="en-US" sz="14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you'll see that the PivotTable shows each buyer's amount. You'll see how easy this is in a second...and the great part about this is it doesn't require typing any formulas!</a:t>
          </a:r>
        </a:p>
      </xdr:txBody>
    </xdr:sp>
    <xdr:clientData/>
  </xdr:absoluteAnchor>
  <xdr:absoluteAnchor>
    <xdr:pos x="0" y="6261100"/>
    <xdr:ext cx="8146669" cy="648462"/>
    <xdr:sp macro="" textlink="">
      <xdr:nvSpPr>
        <xdr:cNvPr id="3" name="Footer" descr="Background">
          <a:extLst>
            <a:ext uri="{FF2B5EF4-FFF2-40B4-BE49-F238E27FC236}">
              <a16:creationId xmlns:a16="http://schemas.microsoft.com/office/drawing/2014/main" id="{00000000-0008-0000-1B00-000003000000}"/>
            </a:ext>
          </a:extLst>
        </xdr:cNvPr>
        <xdr:cNvSpPr txBox="1"/>
      </xdr:nvSpPr>
      <xdr:spPr>
        <a:xfrm>
          <a:off x="0" y="6261100"/>
          <a:ext cx="81466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8793" y="6409325"/>
    <xdr:ext cx="1271016" cy="340741"/>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B00-000004000000}"/>
            </a:ext>
          </a:extLst>
        </xdr:cNvPr>
        <xdr:cNvSpPr/>
      </xdr:nvSpPr>
      <xdr:spPr>
        <a:xfrm>
          <a:off x="6348793"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26859" y="6414087"/>
    <xdr:ext cx="1295908" cy="340741"/>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B00-000005000000}"/>
            </a:ext>
          </a:extLst>
        </xdr:cNvPr>
        <xdr:cNvSpPr/>
      </xdr:nvSpPr>
      <xdr:spPr>
        <a:xfrm flipH="1">
          <a:off x="526859"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5130800" y="1054101"/>
    <xdr:ext cx="2603500" cy="4907305"/>
    <xdr:pic>
      <xdr:nvPicPr>
        <xdr:cNvPr id="6" name="Picture 5" descr="A PivotTable Fields List image shows &quot;Buyer&quot; highlighted in the Rows area">
          <a:extLst>
            <a:ext uri="{FF2B5EF4-FFF2-40B4-BE49-F238E27FC236}">
              <a16:creationId xmlns:a16="http://schemas.microsoft.com/office/drawing/2014/main" id="{00000000-0008-0000-1B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5130800" y="1054101"/>
          <a:ext cx="2603500" cy="4907305"/>
        </a:xfrm>
        <a:prstGeom prst="rect">
          <a:avLst/>
        </a:prstGeom>
        <a:noFill/>
        <a:extLst>
          <a:ext uri="{909E8E84-426E-40DD-AFC4-6F175D3DCCD1}">
            <a14:hiddenFill xmlns:a14="http://schemas.microsoft.com/office/drawing/2010/main">
              <a:solidFill>
                <a:srgbClr val="FFFFFF"/>
              </a:solidFill>
            </a14:hiddenFill>
          </a:ext>
        </a:extLst>
      </xdr:spPr>
    </xdr:pic>
    <xdr:clientData/>
  </xdr:absoluteAnchor>
  <xdr:absoluteAnchor>
    <xdr:pos x="2466975" y="1374775"/>
    <xdr:ext cx="1552574" cy="624568"/>
    <xdr:grpSp>
      <xdr:nvGrpSpPr>
        <xdr:cNvPr id="7" name="Tip Text Group 30" descr="Tip text &quot;Divides up the value field (Sum of Amount)&quot; has an arrow pointing to PivotTable Sum of Amount field">
          <a:extLst>
            <a:ext uri="{FF2B5EF4-FFF2-40B4-BE49-F238E27FC236}">
              <a16:creationId xmlns:a16="http://schemas.microsoft.com/office/drawing/2014/main" id="{00000000-0008-0000-1B00-000007000000}"/>
            </a:ext>
          </a:extLst>
        </xdr:cNvPr>
        <xdr:cNvGrpSpPr/>
      </xdr:nvGrpSpPr>
      <xdr:grpSpPr>
        <a:xfrm>
          <a:off x="2466975" y="1374775"/>
          <a:ext cx="1552574" cy="624568"/>
          <a:chOff x="2466975" y="1374775"/>
          <a:chExt cx="1546224" cy="624568"/>
        </a:xfrm>
      </xdr:grpSpPr>
      <xdr:cxnSp macro="">
        <xdr:nvCxnSpPr>
          <xdr:cNvPr id="8" name="Straight Arrow Connector 12" descr="Arrow">
            <a:extLst>
              <a:ext uri="{FF2B5EF4-FFF2-40B4-BE49-F238E27FC236}">
                <a16:creationId xmlns:a16="http://schemas.microsoft.com/office/drawing/2014/main" id="{00000000-0008-0000-1B00-000008000000}"/>
              </a:ext>
            </a:extLst>
          </xdr:cNvPr>
          <xdr:cNvCxnSpPr/>
        </xdr:nvCxnSpPr>
        <xdr:spPr>
          <a:xfrm flipV="1">
            <a:off x="33591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30" descr="Tip text &quot;Divides up the value field (Sum of Amount)&quot;">
            <a:extLst>
              <a:ext uri="{FF2B5EF4-FFF2-40B4-BE49-F238E27FC236}">
                <a16:creationId xmlns:a16="http://schemas.microsoft.com/office/drawing/2014/main" id="{00000000-0008-0000-1B00-000009000000}"/>
              </a:ext>
            </a:extLst>
          </xdr:cNvPr>
          <xdr:cNvSpPr txBox="1"/>
        </xdr:nvSpPr>
        <xdr:spPr>
          <a:xfrm>
            <a:off x="2466975" y="1374775"/>
            <a:ext cx="1546224" cy="4540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Divides</a:t>
            </a:r>
            <a:r>
              <a:rPr lang="en-US" sz="1100" b="0" baseline="0" noProof="0">
                <a:effectLst/>
                <a:latin typeface="+mj-lt"/>
                <a:ea typeface="Calibri" panose="020F0502020204030204" pitchFamily="34" charset="0"/>
                <a:cs typeface="Times New Roman" panose="02020603050405020304" pitchFamily="18" charset="0"/>
              </a:rPr>
              <a:t> up the value field (</a:t>
            </a:r>
            <a:r>
              <a:rPr lang="en-US" sz="1100" b="1" baseline="0" noProof="0">
                <a:effectLst/>
                <a:latin typeface="+mj-lt"/>
                <a:ea typeface="Calibri" panose="020F0502020204030204" pitchFamily="34" charset="0"/>
                <a:cs typeface="Times New Roman" panose="02020603050405020304" pitchFamily="18" charset="0"/>
              </a:rPr>
              <a:t>Sum of Amount</a:t>
            </a:r>
            <a:r>
              <a:rPr lang="en-US" sz="1100" b="0" baseline="0" noProof="0">
                <a:effectLst/>
                <a:latin typeface="+mj-lt"/>
                <a:ea typeface="Calibri" panose="020F0502020204030204" pitchFamily="34" charset="0"/>
                <a:cs typeface="Times New Roman" panose="02020603050405020304" pitchFamily="18" charset="0"/>
              </a:rPr>
              <a:t>).</a:t>
            </a:r>
            <a:endParaRPr lang="en-US" sz="1100" b="0" noProof="0">
              <a:effectLst/>
              <a:latin typeface="+mj-lt"/>
              <a:ea typeface="Calibri" panose="020F0502020204030204" pitchFamily="34" charset="0"/>
              <a:cs typeface="Times New Roman" panose="02020603050405020304" pitchFamily="18" charset="0"/>
            </a:endParaRPr>
          </a:p>
        </xdr:txBody>
      </xdr:sp>
    </xdr:grpSp>
    <xdr:clientData/>
  </xdr:absoluteAnchor>
  <xdr:absoluteAnchor>
    <xdr:pos x="857249" y="1365250"/>
    <xdr:ext cx="1466849" cy="634093"/>
    <xdr:grpSp>
      <xdr:nvGrpSpPr>
        <xdr:cNvPr id="10" name="Tip Text Group 29" descr="Tip text &quot;The row field (Buyer)&quot; has an arow pointing to PivotTable Row Labels field">
          <a:extLst>
            <a:ext uri="{FF2B5EF4-FFF2-40B4-BE49-F238E27FC236}">
              <a16:creationId xmlns:a16="http://schemas.microsoft.com/office/drawing/2014/main" id="{00000000-0008-0000-1B00-00000A000000}"/>
            </a:ext>
          </a:extLst>
        </xdr:cNvPr>
        <xdr:cNvGrpSpPr/>
      </xdr:nvGrpSpPr>
      <xdr:grpSpPr>
        <a:xfrm>
          <a:off x="857249" y="1365250"/>
          <a:ext cx="1466849" cy="634093"/>
          <a:chOff x="857249" y="1365250"/>
          <a:chExt cx="1466849" cy="634093"/>
        </a:xfrm>
      </xdr:grpSpPr>
      <xdr:cxnSp macro="">
        <xdr:nvCxnSpPr>
          <xdr:cNvPr id="11" name="Straight Arrow Connector 11" descr="Arrow">
            <a:extLst>
              <a:ext uri="{FF2B5EF4-FFF2-40B4-BE49-F238E27FC236}">
                <a16:creationId xmlns:a16="http://schemas.microsoft.com/office/drawing/2014/main" id="{00000000-0008-0000-1B00-00000B000000}"/>
              </a:ext>
            </a:extLst>
          </xdr:cNvPr>
          <xdr:cNvCxnSpPr/>
        </xdr:nvCxnSpPr>
        <xdr:spPr>
          <a:xfrm flipV="1">
            <a:off x="21526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ip Text 29" descr="Tip text &quot;The row field (Buyer)&quot;&#10;">
            <a:extLst>
              <a:ext uri="{FF2B5EF4-FFF2-40B4-BE49-F238E27FC236}">
                <a16:creationId xmlns:a16="http://schemas.microsoft.com/office/drawing/2014/main" id="{00000000-0008-0000-1B00-00000C000000}"/>
              </a:ext>
            </a:extLst>
          </xdr:cNvPr>
          <xdr:cNvSpPr txBox="1"/>
        </xdr:nvSpPr>
        <xdr:spPr>
          <a:xfrm>
            <a:off x="857249" y="1365250"/>
            <a:ext cx="1466849" cy="4635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The</a:t>
            </a:r>
            <a:r>
              <a:rPr lang="en-US" sz="1100" b="0" baseline="0" noProof="0">
                <a:effectLst/>
                <a:latin typeface="+mj-lt"/>
                <a:ea typeface="Calibri" panose="020F0502020204030204" pitchFamily="34" charset="0"/>
                <a:cs typeface="Times New Roman" panose="02020603050405020304" pitchFamily="18" charset="0"/>
              </a:rPr>
              <a:t> row </a:t>
            </a:r>
            <a:r>
              <a:rPr lang="en-US" sz="1100" b="0" noProof="0">
                <a:effectLst/>
                <a:latin typeface="+mj-lt"/>
                <a:ea typeface="Calibri" panose="020F0502020204030204" pitchFamily="34" charset="0"/>
                <a:cs typeface="Times New Roman" panose="02020603050405020304" pitchFamily="18" charset="0"/>
              </a:rPr>
              <a:t>field (</a:t>
            </a:r>
            <a:r>
              <a:rPr lang="en-US" sz="1100" b="1" noProof="0">
                <a:effectLst/>
                <a:latin typeface="+mj-lt"/>
                <a:ea typeface="Calibri" panose="020F0502020204030204" pitchFamily="34" charset="0"/>
                <a:cs typeface="Times New Roman" panose="02020603050405020304" pitchFamily="18" charset="0"/>
              </a:rPr>
              <a:t>Buyer</a:t>
            </a:r>
            <a:r>
              <a:rPr lang="en-US" sz="1100" b="0" noProof="0">
                <a:effectLst/>
                <a:latin typeface="+mj-lt"/>
                <a:ea typeface="Calibri" panose="020F0502020204030204" pitchFamily="34" charset="0"/>
                <a:cs typeface="Times New Roman" panose="02020603050405020304" pitchFamily="18" charset="0"/>
              </a:rPr>
              <a:t>)</a:t>
            </a:r>
          </a:p>
        </xdr:txBody>
      </xdr:sp>
    </xdr:grpSp>
    <xdr:clientData/>
  </xdr:absoluteAnchor>
  <xdr:absoluteAnchor>
    <xdr:pos x="3438970" y="6719476"/>
    <xdr:ext cx="1249680" cy="182880"/>
    <xdr:sp macro="" textlink="">
      <xdr:nvSpPr>
        <xdr:cNvPr id="13"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B00-00000D000000}"/>
            </a:ext>
          </a:extLst>
        </xdr:cNvPr>
        <xdr:cNvSpPr/>
      </xdr:nvSpPr>
      <xdr:spPr>
        <a:xfrm>
          <a:off x="3438970" y="6719476"/>
          <a:ext cx="1249680"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21.xml><?xml version="1.0" encoding="utf-8"?>
<xdr:wsDr xmlns:xdr="http://schemas.openxmlformats.org/drawingml/2006/spreadsheetDrawing" xmlns:a="http://schemas.openxmlformats.org/drawingml/2006/main">
  <xdr:absoluteAnchor>
    <xdr:pos x="0" y="5937249"/>
    <xdr:ext cx="8149844" cy="642112"/>
    <xdr:sp macro="" textlink="">
      <xdr:nvSpPr>
        <xdr:cNvPr id="2" name="Footer" descr="Backbround">
          <a:extLst>
            <a:ext uri="{FF2B5EF4-FFF2-40B4-BE49-F238E27FC236}">
              <a16:creationId xmlns:a16="http://schemas.microsoft.com/office/drawing/2014/main" id="{00000000-0008-0000-1C00-000002000000}"/>
            </a:ext>
          </a:extLst>
        </xdr:cNvPr>
        <xdr:cNvSpPr txBox="1"/>
      </xdr:nvSpPr>
      <xdr:spPr>
        <a:xfrm>
          <a:off x="0" y="5937249"/>
          <a:ext cx="814984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50381" y="6079125"/>
    <xdr:ext cx="1271016" cy="343916"/>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C00-000003000000}"/>
            </a:ext>
          </a:extLst>
        </xdr:cNvPr>
        <xdr:cNvSpPr/>
      </xdr:nvSpPr>
      <xdr:spPr>
        <a:xfrm>
          <a:off x="6350381" y="6079125"/>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absoluteAnchor>
  <xdr:absoluteAnchor>
    <xdr:pos x="528447" y="6068013"/>
    <xdr:ext cx="1273683" cy="347091"/>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C00-000004000000}"/>
            </a:ext>
          </a:extLst>
        </xdr:cNvPr>
        <xdr:cNvSpPr/>
      </xdr:nvSpPr>
      <xdr:spPr>
        <a:xfrm flipH="1">
          <a:off x="528447" y="6068013"/>
          <a:ext cx="1273683"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absoluteAnchor>
  <xdr:oneCellAnchor>
    <xdr:from>
      <xdr:col>0</xdr:col>
      <xdr:colOff>0</xdr:colOff>
      <xdr:row>0</xdr:row>
      <xdr:rowOff>9525</xdr:rowOff>
    </xdr:from>
    <xdr:ext cx="8149844" cy="425450"/>
    <xdr:sp macro="" textlink="">
      <xdr:nvSpPr>
        <xdr:cNvPr id="5" name="Blue Header" descr="WORK WITH THE PIVOTTABLE FIELDS LIST&#10;">
          <a:extLst>
            <a:ext uri="{FF2B5EF4-FFF2-40B4-BE49-F238E27FC236}">
              <a16:creationId xmlns:a16="http://schemas.microsoft.com/office/drawing/2014/main" id="{00000000-0008-0000-1C00-000005000000}"/>
            </a:ext>
          </a:extLst>
        </xdr:cNvPr>
        <xdr:cNvSpPr txBox="1"/>
      </xdr:nvSpPr>
      <xdr:spPr>
        <a:xfrm>
          <a:off x="0" y="9525"/>
          <a:ext cx="8149844" cy="4254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WORK WITH THE PIVOTTABLE FIELDS LIST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oneCellAnchor>
  <xdr:absoluteAnchor>
    <xdr:pos x="76200" y="596900"/>
    <xdr:ext cx="1911351" cy="1377950"/>
    <xdr:grpSp>
      <xdr:nvGrpSpPr>
        <xdr:cNvPr id="6" name="Tip Text Group 31" descr="Step 1. Tip text &quot;Below and to the right, is the PivotTable Area. Click anywhere inside that area&quot;">
          <a:extLst>
            <a:ext uri="{FF2B5EF4-FFF2-40B4-BE49-F238E27FC236}">
              <a16:creationId xmlns:a16="http://schemas.microsoft.com/office/drawing/2014/main" id="{00000000-0008-0000-1C00-000006000000}"/>
            </a:ext>
          </a:extLst>
        </xdr:cNvPr>
        <xdr:cNvGrpSpPr/>
      </xdr:nvGrpSpPr>
      <xdr:grpSpPr>
        <a:xfrm>
          <a:off x="76200" y="596900"/>
          <a:ext cx="1911351" cy="1377950"/>
          <a:chOff x="76200" y="596900"/>
          <a:chExt cx="1911351" cy="1377950"/>
        </a:xfrm>
      </xdr:grpSpPr>
      <xdr:sp macro="" textlink="">
        <xdr:nvSpPr>
          <xdr:cNvPr id="7" name="Tip Text 31" descr="Tip text &quot;Below and to the right, is the PivotTable Area. Click anywhere inside that area&quot;">
            <a:extLst>
              <a:ext uri="{FF2B5EF4-FFF2-40B4-BE49-F238E27FC236}">
                <a16:creationId xmlns:a16="http://schemas.microsoft.com/office/drawing/2014/main" id="{00000000-0008-0000-1C00-000007000000}"/>
              </a:ext>
            </a:extLst>
          </xdr:cNvPr>
          <xdr:cNvSpPr txBox="1"/>
        </xdr:nvSpPr>
        <xdr:spPr>
          <a:xfrm>
            <a:off x="527185" y="646529"/>
            <a:ext cx="146036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Below and to the right, is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Area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anywhere inside that area. </a:t>
            </a:r>
          </a:p>
        </xdr:txBody>
      </xdr:sp>
      <xdr:sp macro="" textlink="">
        <xdr:nvSpPr>
          <xdr:cNvPr id="8" name="Oval 1" descr="1">
            <a:extLst>
              <a:ext uri="{FF2B5EF4-FFF2-40B4-BE49-F238E27FC236}">
                <a16:creationId xmlns:a16="http://schemas.microsoft.com/office/drawing/2014/main" id="{00000000-0008-0000-1C00-000008000000}"/>
              </a:ext>
            </a:extLst>
          </xdr:cNvPr>
          <xdr:cNvSpPr/>
        </xdr:nvSpPr>
        <xdr:spPr>
          <a:xfrm>
            <a:off x="76200"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absoluteAnchor>
  <xdr:absoluteAnchor>
    <xdr:pos x="2091267" y="596900"/>
    <xdr:ext cx="1885951" cy="1739899"/>
    <xdr:grpSp>
      <xdr:nvGrpSpPr>
        <xdr:cNvPr id="9" name="Tip Text Group 32" descr="Step 2. 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C00-000009000000}"/>
            </a:ext>
          </a:extLst>
        </xdr:cNvPr>
        <xdr:cNvGrpSpPr/>
      </xdr:nvGrpSpPr>
      <xdr:grpSpPr>
        <a:xfrm>
          <a:off x="2091267" y="596900"/>
          <a:ext cx="1885951" cy="1739899"/>
          <a:chOff x="2091267" y="596900"/>
          <a:chExt cx="1885951" cy="1737815"/>
        </a:xfrm>
      </xdr:grpSpPr>
      <xdr:sp macro="" textlink="">
        <xdr:nvSpPr>
          <xdr:cNvPr id="10" name="Tip Text 32" descr="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C00-00000A000000}"/>
              </a:ext>
            </a:extLst>
          </xdr:cNvPr>
          <xdr:cNvSpPr txBox="1"/>
        </xdr:nvSpPr>
        <xdr:spPr>
          <a:xfrm>
            <a:off x="2536259" y="646528"/>
            <a:ext cx="1440959" cy="1688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Fields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list should appear on the right. If you don't see it, right-click the  PivotTable Area, and then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Field List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1" name="Oval 2" descr="2">
            <a:extLst>
              <a:ext uri="{FF2B5EF4-FFF2-40B4-BE49-F238E27FC236}">
                <a16:creationId xmlns:a16="http://schemas.microsoft.com/office/drawing/2014/main" id="{00000000-0008-0000-1C00-00000B000000}"/>
              </a:ext>
            </a:extLst>
          </xdr:cNvPr>
          <xdr:cNvSpPr/>
        </xdr:nvSpPr>
        <xdr:spPr>
          <a:xfrm>
            <a:off x="2091267" y="596900"/>
            <a:ext cx="38520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absoluteAnchor>
  <xdr:absoluteAnchor>
    <xdr:pos x="6296025" y="600075"/>
    <xdr:ext cx="1939925" cy="1374775"/>
    <xdr:grpSp>
      <xdr:nvGrpSpPr>
        <xdr:cNvPr id="12" name="Tip Text Group 34" descr="Step 4. Tip text &quot;Drag the Buyer field down to the Rows area&quot;">
          <a:extLst>
            <a:ext uri="{FF2B5EF4-FFF2-40B4-BE49-F238E27FC236}">
              <a16:creationId xmlns:a16="http://schemas.microsoft.com/office/drawing/2014/main" id="{00000000-0008-0000-1C00-00000C000000}"/>
            </a:ext>
          </a:extLst>
        </xdr:cNvPr>
        <xdr:cNvGrpSpPr/>
      </xdr:nvGrpSpPr>
      <xdr:grpSpPr>
        <a:xfrm>
          <a:off x="6296025" y="600075"/>
          <a:ext cx="1939925" cy="1374775"/>
          <a:chOff x="6296025" y="600075"/>
          <a:chExt cx="1939925" cy="1374775"/>
        </a:xfrm>
      </xdr:grpSpPr>
      <xdr:sp macro="" textlink="">
        <xdr:nvSpPr>
          <xdr:cNvPr id="13" name="Tip Text 34" descr="Tip text &quot;Drag the Buyer field down to the Rows area&quot;">
            <a:extLst>
              <a:ext uri="{FF2B5EF4-FFF2-40B4-BE49-F238E27FC236}">
                <a16:creationId xmlns:a16="http://schemas.microsoft.com/office/drawing/2014/main" id="{00000000-0008-0000-1C00-00000D000000}"/>
              </a:ext>
            </a:extLst>
          </xdr:cNvPr>
          <xdr:cNvSpPr txBox="1"/>
        </xdr:nvSpPr>
        <xdr:spPr>
          <a:xfrm>
            <a:off x="6816966" y="649590"/>
            <a:ext cx="1418984"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4" name="Oval 4" descr="4">
            <a:extLst>
              <a:ext uri="{FF2B5EF4-FFF2-40B4-BE49-F238E27FC236}">
                <a16:creationId xmlns:a16="http://schemas.microsoft.com/office/drawing/2014/main" id="{00000000-0008-0000-1C00-00000E000000}"/>
              </a:ext>
            </a:extLst>
          </xdr:cNvPr>
          <xdr:cNvSpPr/>
        </xdr:nvSpPr>
        <xdr:spPr>
          <a:xfrm>
            <a:off x="6296025" y="600075"/>
            <a:ext cx="381142"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absoluteAnchor>
  <xdr:absoluteAnchor>
    <xdr:pos x="4064000" y="600075"/>
    <xdr:ext cx="2139950" cy="860426"/>
    <xdr:grpSp>
      <xdr:nvGrpSpPr>
        <xdr:cNvPr id="15" name="Tip Text Group 33" descr="Step 3. Tip text &quot;Drag the Amount field down to the Values area&quot;">
          <a:extLst>
            <a:ext uri="{FF2B5EF4-FFF2-40B4-BE49-F238E27FC236}">
              <a16:creationId xmlns:a16="http://schemas.microsoft.com/office/drawing/2014/main" id="{00000000-0008-0000-1C00-00000F000000}"/>
            </a:ext>
          </a:extLst>
        </xdr:cNvPr>
        <xdr:cNvGrpSpPr/>
      </xdr:nvGrpSpPr>
      <xdr:grpSpPr>
        <a:xfrm>
          <a:off x="4064000" y="600075"/>
          <a:ext cx="2139950" cy="860426"/>
          <a:chOff x="4064000" y="600075"/>
          <a:chExt cx="2139950" cy="860426"/>
        </a:xfrm>
      </xdr:grpSpPr>
      <xdr:sp macro="" textlink="">
        <xdr:nvSpPr>
          <xdr:cNvPr id="16" name="Tip Text 33" descr="Tip text &quot;Drag the Amount field down to the Values area&quot;">
            <a:extLst>
              <a:ext uri="{FF2B5EF4-FFF2-40B4-BE49-F238E27FC236}">
                <a16:creationId xmlns:a16="http://schemas.microsoft.com/office/drawing/2014/main" id="{00000000-0008-0000-1C00-000010000000}"/>
              </a:ext>
            </a:extLst>
          </xdr:cNvPr>
          <xdr:cNvSpPr txBox="1"/>
        </xdr:nvSpPr>
        <xdr:spPr>
          <a:xfrm>
            <a:off x="4568922" y="649520"/>
            <a:ext cx="1635028" cy="810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Amount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Values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7" name="Oval 3" descr="3">
            <a:extLst>
              <a:ext uri="{FF2B5EF4-FFF2-40B4-BE49-F238E27FC236}">
                <a16:creationId xmlns:a16="http://schemas.microsoft.com/office/drawing/2014/main" id="{00000000-0008-0000-1C00-000011000000}"/>
              </a:ext>
            </a:extLst>
          </xdr:cNvPr>
          <xdr:cNvSpPr/>
        </xdr:nvSpPr>
        <xdr:spPr>
          <a:xfrm>
            <a:off x="4064000" y="600075"/>
            <a:ext cx="384048" cy="36324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absoluteAnchor>
  <xdr:twoCellAnchor>
    <xdr:from>
      <xdr:col>0</xdr:col>
      <xdr:colOff>628651</xdr:colOff>
      <xdr:row>21</xdr:row>
      <xdr:rowOff>114300</xdr:rowOff>
    </xdr:from>
    <xdr:to>
      <xdr:col>5</xdr:col>
      <xdr:colOff>9526</xdr:colOff>
      <xdr:row>28</xdr:row>
      <xdr:rowOff>38100</xdr:rowOff>
    </xdr:to>
    <xdr:sp macro="" textlink="">
      <xdr:nvSpPr>
        <xdr:cNvPr id="18" name="Tip Text 35" descr="Tip text &quot;Note: After you complete steps 3 and 4, you may have to make the columns wider to see all of the text and numbers in the PivotTable. (This is a common &quot;extra step&quot; you have to do after creating a PivotTable)&quot;&#10;">
          <a:extLst>
            <a:ext uri="{FF2B5EF4-FFF2-40B4-BE49-F238E27FC236}">
              <a16:creationId xmlns:a16="http://schemas.microsoft.com/office/drawing/2014/main" id="{00000000-0008-0000-1C00-000012000000}"/>
            </a:ext>
          </a:extLst>
        </xdr:cNvPr>
        <xdr:cNvSpPr txBox="1"/>
      </xdr:nvSpPr>
      <xdr:spPr>
        <a:xfrm>
          <a:off x="628651" y="3981450"/>
          <a:ext cx="2587625" cy="12128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b="1" noProof="0"/>
            <a:t>Note: </a:t>
          </a:r>
          <a:r>
            <a:rPr lang="en-US" noProof="0"/>
            <a:t>After</a:t>
          </a:r>
          <a:r>
            <a:rPr lang="en-US" baseline="0" noProof="0"/>
            <a:t> you complete steps 3 and 4, you may have to make the columns wider to see all of the text and numbers in the PivotTable. (This is a common "extra step" you have to do after creating a PivotTable.)</a:t>
          </a:r>
          <a:endParaRPr lang="en-US" noProof="0"/>
        </a:p>
      </xdr:txBody>
    </xdr:sp>
    <xdr:clientData/>
  </xdr:twoCellAnchor>
  <xdr:absoluteAnchor>
    <xdr:pos x="3451670" y="6382926"/>
    <xdr:ext cx="1227455" cy="182880"/>
    <xdr:sp macro="" textlink="">
      <xdr:nvSpPr>
        <xdr:cNvPr id="1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C00-000013000000}"/>
            </a:ext>
          </a:extLst>
        </xdr:cNvPr>
        <xdr:cNvSpPr/>
      </xdr:nvSpPr>
      <xdr:spPr>
        <a:xfrm>
          <a:off x="3451670" y="6382926"/>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22.xml><?xml version="1.0" encoding="utf-8"?>
<xdr:wsDr xmlns:xdr="http://schemas.openxmlformats.org/drawingml/2006/spreadsheetDrawing" xmlns:a="http://schemas.openxmlformats.org/drawingml/2006/main">
  <xdr:absoluteAnchor>
    <xdr:pos x="0" y="0"/>
    <xdr:ext cx="8130794" cy="770128"/>
    <xdr:sp macro="" textlink="">
      <xdr:nvSpPr>
        <xdr:cNvPr id="2" name="Header" descr="On the next step, you'll create a PivotTable from scratch. When you do, there's something to keep in mind: Excel puts PivotTables on a new, separate sheet to the left of the sheet you are on&#10;">
          <a:extLst>
            <a:ext uri="{FF2B5EF4-FFF2-40B4-BE49-F238E27FC236}">
              <a16:creationId xmlns:a16="http://schemas.microsoft.com/office/drawing/2014/main" id="{00000000-0008-0000-1D00-000002000000}"/>
            </a:ext>
          </a:extLst>
        </xdr:cNvPr>
        <xdr:cNvSpPr txBox="1"/>
      </xdr:nvSpPr>
      <xdr:spPr>
        <a:xfrm>
          <a:off x="0" y="0"/>
          <a:ext cx="813079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On the next step, you'll create a PivotTable from scratch.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When you do, there's something to keep in mind: Excel puts PivotTables on a new, separate sheet to the left of the sheet you are on. </a:t>
          </a:r>
        </a:p>
      </xdr:txBody>
    </xdr:sp>
    <xdr:clientData/>
  </xdr:absoluteAnchor>
  <xdr:absoluteAnchor>
    <xdr:pos x="0" y="6261099"/>
    <xdr:ext cx="8130794" cy="640080"/>
    <xdr:sp macro="" textlink="">
      <xdr:nvSpPr>
        <xdr:cNvPr id="3" name="Footer" descr="Background">
          <a:extLst>
            <a:ext uri="{FF2B5EF4-FFF2-40B4-BE49-F238E27FC236}">
              <a16:creationId xmlns:a16="http://schemas.microsoft.com/office/drawing/2014/main" id="{00000000-0008-0000-1D00-000003000000}"/>
            </a:ext>
          </a:extLst>
        </xdr:cNvPr>
        <xdr:cNvSpPr txBox="1"/>
      </xdr:nvSpPr>
      <xdr:spPr>
        <a:xfrm>
          <a:off x="0" y="6261099"/>
          <a:ext cx="81307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35014" y="6402976"/>
    <xdr:ext cx="1271016" cy="347091"/>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D00-000004000000}"/>
            </a:ext>
          </a:extLst>
        </xdr:cNvPr>
        <xdr:cNvSpPr/>
      </xdr:nvSpPr>
      <xdr:spPr>
        <a:xfrm>
          <a:off x="6335014" y="6402976"/>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absoluteAnchor>
    <xdr:pos x="518922" y="6406150"/>
    <xdr:ext cx="1295908" cy="347091"/>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D00-000005000000}"/>
            </a:ext>
          </a:extLst>
        </xdr:cNvPr>
        <xdr:cNvSpPr/>
      </xdr:nvSpPr>
      <xdr:spPr>
        <a:xfrm flipH="1">
          <a:off x="518922" y="6406150"/>
          <a:ext cx="1295908"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828675" y="4714875"/>
    <xdr:ext cx="6511925" cy="1216025"/>
    <xdr:grpSp>
      <xdr:nvGrpSpPr>
        <xdr:cNvPr id="6" name="Tip Text Group 38" descr="Glasses image&#10;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D00-000006000000}"/>
            </a:ext>
          </a:extLst>
        </xdr:cNvPr>
        <xdr:cNvGrpSpPr/>
      </xdr:nvGrpSpPr>
      <xdr:grpSpPr>
        <a:xfrm>
          <a:off x="828675" y="4714875"/>
          <a:ext cx="6511925" cy="1216025"/>
          <a:chOff x="828675" y="4714875"/>
          <a:chExt cx="6511925" cy="1216025"/>
        </a:xfrm>
      </xdr:grpSpPr>
      <xdr:sp macro="" textlink="">
        <xdr:nvSpPr>
          <xdr:cNvPr id="7" name="Tip Text 38" descr="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D00-000007000000}"/>
              </a:ext>
            </a:extLst>
          </xdr:cNvPr>
          <xdr:cNvSpPr txBox="1"/>
        </xdr:nvSpPr>
        <xdr:spPr>
          <a:xfrm>
            <a:off x="1115237" y="4737099"/>
            <a:ext cx="6225363" cy="119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WHY DOES THIS HAPPEN?</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a:t>
            </a:r>
          </a:p>
        </xdr:txBody>
      </xdr:sp>
      <xdr:pic>
        <xdr:nvPicPr>
          <xdr:cNvPr id="8" name="Glasses" descr="Glasses">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8675" y="4714875"/>
            <a:ext cx="330411" cy="360292"/>
          </a:xfrm>
          <a:prstGeom prst="rect">
            <a:avLst/>
          </a:prstGeom>
        </xdr:spPr>
      </xdr:pic>
    </xdr:grpSp>
    <xdr:clientData/>
  </xdr:absoluteAnchor>
  <xdr:absoluteAnchor>
    <xdr:pos x="742950" y="1532585"/>
    <xdr:ext cx="2882703" cy="864389"/>
    <xdr:pic>
      <xdr:nvPicPr>
        <xdr:cNvPr id="9" name="Sheet image 1" descr="Crop of a workbook showing 4 sheet tabs named 17, 18, 19, 20, and Learn More. 20 is the active tab">
          <a:extLst>
            <a:ext uri="{FF2B5EF4-FFF2-40B4-BE49-F238E27FC236}">
              <a16:creationId xmlns:a16="http://schemas.microsoft.com/office/drawing/2014/main" id="{00000000-0008-0000-1D00-000009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tretch/>
      </xdr:blipFill>
      <xdr:spPr bwMode="auto">
        <a:xfrm>
          <a:off x="742950" y="1532585"/>
          <a:ext cx="2882703" cy="864389"/>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absoluteAnchor>
  <xdr:absoluteAnchor>
    <xdr:pos x="4448175" y="1536700"/>
    <xdr:ext cx="2939084" cy="882926"/>
    <xdr:pic>
      <xdr:nvPicPr>
        <xdr:cNvPr id="10" name="Sheet image 2" descr="Crop of a workbook showing a new sheet tab called &quot;Sheet12&quot; that is in between sheet 19 and 20">
          <a:extLst>
            <a:ext uri="{FF2B5EF4-FFF2-40B4-BE49-F238E27FC236}">
              <a16:creationId xmlns:a16="http://schemas.microsoft.com/office/drawing/2014/main" id="{00000000-0008-0000-1D00-00000A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tretch/>
      </xdr:blipFill>
      <xdr:spPr bwMode="auto">
        <a:xfrm>
          <a:off x="4448175" y="1536700"/>
          <a:ext cx="2939084" cy="882926"/>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absoluteAnchor>
  <xdr:absoluteAnchor>
    <xdr:pos x="1266825" y="2524125"/>
    <xdr:ext cx="1676400" cy="1003300"/>
    <xdr:sp macro="" textlink="">
      <xdr:nvSpPr>
        <xdr:cNvPr id="11" name="Tip Text 36" descr="Tip text &quot;For example, let's say your data is on a sheet named &quot;20.&quot; If you created a  PivotTable...&quot;">
          <a:extLst>
            <a:ext uri="{FF2B5EF4-FFF2-40B4-BE49-F238E27FC236}">
              <a16:creationId xmlns:a16="http://schemas.microsoft.com/office/drawing/2014/main" id="{00000000-0008-0000-1D00-00000B000000}"/>
            </a:ext>
          </a:extLst>
        </xdr:cNvPr>
        <xdr:cNvSpPr txBox="1"/>
      </xdr:nvSpPr>
      <xdr:spPr>
        <a:xfrm>
          <a:off x="1266825" y="2524125"/>
          <a:ext cx="1676400" cy="1003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For example, let's say your</a:t>
          </a:r>
          <a:r>
            <a:rPr lang="en-US" baseline="0" noProof="0"/>
            <a:t> data is on a sheet named "20." If you created a PivotTable...</a:t>
          </a:r>
          <a:endParaRPr lang="en-US" noProof="0"/>
        </a:p>
      </xdr:txBody>
    </xdr:sp>
    <xdr:clientData/>
  </xdr:absoluteAnchor>
  <xdr:absoluteAnchor>
    <xdr:pos x="5038725" y="2108200"/>
    <xdr:ext cx="1673225" cy="2387600"/>
    <xdr:grpSp>
      <xdr:nvGrpSpPr>
        <xdr:cNvPr id="12" name="Tip Text Group 37" descr="Tip text &quot;If you created a PivotTable, Excel would put it on a new sheet to the left. It would name it &quot;Sheet&quot; and then assign a number to it like &quot;12&quot;, &quot;13,&quot; etc. You can always double-click the name, and name it something else like &quot;PivotTable.&quot;&quot; has an arrow pointing to a worksheet tab named &quot;Sheet 12&quot;">
          <a:extLst>
            <a:ext uri="{FF2B5EF4-FFF2-40B4-BE49-F238E27FC236}">
              <a16:creationId xmlns:a16="http://schemas.microsoft.com/office/drawing/2014/main" id="{00000000-0008-0000-1D00-00000C000000}"/>
            </a:ext>
          </a:extLst>
        </xdr:cNvPr>
        <xdr:cNvGrpSpPr/>
      </xdr:nvGrpSpPr>
      <xdr:grpSpPr>
        <a:xfrm>
          <a:off x="5038725" y="2108200"/>
          <a:ext cx="1673225" cy="2387600"/>
          <a:chOff x="5038725" y="2108200"/>
          <a:chExt cx="1673225" cy="2387600"/>
        </a:xfrm>
      </xdr:grpSpPr>
      <xdr:sp macro="" textlink="">
        <xdr:nvSpPr>
          <xdr:cNvPr id="13" name="Arc 12" descr="Arrow">
            <a:extLst>
              <a:ext uri="{FF2B5EF4-FFF2-40B4-BE49-F238E27FC236}">
                <a16:creationId xmlns:a16="http://schemas.microsoft.com/office/drawing/2014/main" id="{00000000-0008-0000-1D00-00000D000000}"/>
              </a:ext>
            </a:extLst>
          </xdr:cNvPr>
          <xdr:cNvSpPr/>
        </xdr:nvSpPr>
        <xdr:spPr>
          <a:xfrm rot="16450605" flipH="1">
            <a:off x="5130005" y="2156620"/>
            <a:ext cx="604570" cy="507730"/>
          </a:xfrm>
          <a:prstGeom prst="arc">
            <a:avLst>
              <a:gd name="adj1" fmla="val 1501142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4" name="Tip Text 37" descr="Tip text &quot;...Excel would put it on a new sheet to the left. It would name it &quot;Sheet&quot; and then assign a number to it like &quot;12&quot;, &quot;13,&quot; etc. You can always double-click the name, and name it something else like &quot;PivotTable&quot;&quot;&#10;">
            <a:extLst>
              <a:ext uri="{FF2B5EF4-FFF2-40B4-BE49-F238E27FC236}">
                <a16:creationId xmlns:a16="http://schemas.microsoft.com/office/drawing/2014/main" id="{00000000-0008-0000-1D00-00000E000000}"/>
              </a:ext>
            </a:extLst>
          </xdr:cNvPr>
          <xdr:cNvSpPr txBox="1"/>
        </xdr:nvSpPr>
        <xdr:spPr>
          <a:xfrm>
            <a:off x="5038725" y="2524125"/>
            <a:ext cx="1673225" cy="19716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 would put it on a new sheet</a:t>
            </a:r>
            <a:r>
              <a:rPr lang="en-US" baseline="0" noProof="0"/>
              <a:t> to the </a:t>
            </a:r>
            <a:r>
              <a:rPr lang="en-US" b="1" baseline="0" noProof="0"/>
              <a:t>left</a:t>
            </a:r>
            <a:r>
              <a:rPr lang="en-US" baseline="0" noProof="0"/>
              <a:t>. It would name it "Sheet" and then assign a number to it like "12", "13," etc. You can always double-click the name, and name it something else like "PivotTable."</a:t>
            </a:r>
            <a:endParaRPr lang="en-US" noProof="0"/>
          </a:p>
        </xdr:txBody>
      </xdr:sp>
    </xdr:grpSp>
    <xdr:clientData/>
  </xdr:absoluteAnchor>
  <xdr:absoluteAnchor>
    <xdr:pos x="3435795" y="6716301"/>
    <xdr:ext cx="1230630" cy="182880"/>
    <xdr:sp macro="" textlink="">
      <xdr:nvSpPr>
        <xdr:cNvPr id="15" name="Feedback" descr="Feedback button, hyperlinked to web form">
          <a:hlinkClick xmlns:r="http://schemas.openxmlformats.org/officeDocument/2006/relationships" r:id="rId7" tooltip="Select to give feedback"/>
          <a:extLst>
            <a:ext uri="{FF2B5EF4-FFF2-40B4-BE49-F238E27FC236}">
              <a16:creationId xmlns:a16="http://schemas.microsoft.com/office/drawing/2014/main" id="{00000000-0008-0000-1D00-00000F000000}"/>
            </a:ext>
          </a:extLst>
        </xdr:cNvPr>
        <xdr:cNvSpPr/>
      </xdr:nvSpPr>
      <xdr:spPr>
        <a:xfrm>
          <a:off x="3435795" y="6716301"/>
          <a:ext cx="1230630"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23.xml><?xml version="1.0" encoding="utf-8"?>
<xdr:wsDr xmlns:xdr="http://schemas.openxmlformats.org/drawingml/2006/spreadsheetDrawing" xmlns:a="http://schemas.openxmlformats.org/drawingml/2006/main">
  <xdr:absoluteAnchor>
    <xdr:pos x="0" y="5929724"/>
    <xdr:ext cx="8156194" cy="648462"/>
    <xdr:sp macro="" textlink="">
      <xdr:nvSpPr>
        <xdr:cNvPr id="2" name="Footer" descr="Background">
          <a:extLst>
            <a:ext uri="{FF2B5EF4-FFF2-40B4-BE49-F238E27FC236}">
              <a16:creationId xmlns:a16="http://schemas.microsoft.com/office/drawing/2014/main" id="{00000000-0008-0000-1E00-000002000000}"/>
            </a:ext>
          </a:extLst>
        </xdr:cNvPr>
        <xdr:cNvSpPr txBox="1"/>
      </xdr:nvSpPr>
      <xdr:spPr>
        <a:xfrm>
          <a:off x="0" y="5929724"/>
          <a:ext cx="81561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6344539" y="6079536"/>
    <xdr:ext cx="1271016" cy="350266"/>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E00-000003000000}"/>
            </a:ext>
          </a:extLst>
        </xdr:cNvPr>
        <xdr:cNvSpPr/>
      </xdr:nvSpPr>
      <xdr:spPr>
        <a:xfrm>
          <a:off x="6344539" y="6079536"/>
          <a:ext cx="1271016" cy="35026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absoluteAnchor>
  <xdr:absoluteAnchor>
    <xdr:pos x="531622" y="6074774"/>
    <xdr:ext cx="1275080" cy="347091"/>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E00-000004000000}"/>
            </a:ext>
          </a:extLst>
        </xdr:cNvPr>
        <xdr:cNvSpPr/>
      </xdr:nvSpPr>
      <xdr:spPr>
        <a:xfrm flipH="1">
          <a:off x="531622" y="6074774"/>
          <a:ext cx="1275080"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absoluteAnchor>
  <xdr:oneCellAnchor>
    <xdr:from>
      <xdr:col>0</xdr:col>
      <xdr:colOff>0</xdr:colOff>
      <xdr:row>0</xdr:row>
      <xdr:rowOff>9525</xdr:rowOff>
    </xdr:from>
    <xdr:ext cx="8156194" cy="425450"/>
    <xdr:sp macro="" textlink="">
      <xdr:nvSpPr>
        <xdr:cNvPr id="5" name="Blue Header" descr="MAKE A PIVOTTABLE FROM SCRATCH&#10;">
          <a:extLst>
            <a:ext uri="{FF2B5EF4-FFF2-40B4-BE49-F238E27FC236}">
              <a16:creationId xmlns:a16="http://schemas.microsoft.com/office/drawing/2014/main" id="{00000000-0008-0000-1E00-000005000000}"/>
            </a:ext>
          </a:extLst>
        </xdr:cNvPr>
        <xdr:cNvSpPr txBox="1"/>
      </xdr:nvSpPr>
      <xdr:spPr>
        <a:xfrm>
          <a:off x="0" y="9525"/>
          <a:ext cx="8156194" cy="4254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MAKE A PIVOTTABLE FROM SCRATCH</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oneCellAnchor>
  <xdr:absoluteAnchor>
    <xdr:pos x="76200" y="600075"/>
    <xdr:ext cx="1914526" cy="1374775"/>
    <xdr:grpSp>
      <xdr:nvGrpSpPr>
        <xdr:cNvPr id="6" name="Tip Text Group 39" descr="Step 1. Tip text &quot;Click anywhere inside the data below&quot;">
          <a:extLst>
            <a:ext uri="{FF2B5EF4-FFF2-40B4-BE49-F238E27FC236}">
              <a16:creationId xmlns:a16="http://schemas.microsoft.com/office/drawing/2014/main" id="{00000000-0008-0000-1E00-000006000000}"/>
            </a:ext>
          </a:extLst>
        </xdr:cNvPr>
        <xdr:cNvGrpSpPr/>
      </xdr:nvGrpSpPr>
      <xdr:grpSpPr>
        <a:xfrm>
          <a:off x="76200" y="600075"/>
          <a:ext cx="1914526" cy="1374775"/>
          <a:chOff x="76200" y="600075"/>
          <a:chExt cx="1914526" cy="1374775"/>
        </a:xfrm>
      </xdr:grpSpPr>
      <xdr:sp macro="" textlink="">
        <xdr:nvSpPr>
          <xdr:cNvPr id="7" name="Tip Text 39" descr="Tip text &quot;Click anywhere inside the data below&quot;&#10;">
            <a:extLst>
              <a:ext uri="{FF2B5EF4-FFF2-40B4-BE49-F238E27FC236}">
                <a16:creationId xmlns:a16="http://schemas.microsoft.com/office/drawing/2014/main" id="{00000000-0008-0000-1E00-000007000000}"/>
              </a:ext>
            </a:extLst>
          </xdr:cNvPr>
          <xdr:cNvSpPr txBox="1"/>
        </xdr:nvSpPr>
        <xdr:spPr>
          <a:xfrm>
            <a:off x="527934" y="649590"/>
            <a:ext cx="1462792"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data below.</a:t>
            </a:r>
          </a:p>
        </xdr:txBody>
      </xdr:sp>
      <xdr:sp macro="" textlink="">
        <xdr:nvSpPr>
          <xdr:cNvPr id="8" name="Oval 5" descr="1">
            <a:extLst>
              <a:ext uri="{FF2B5EF4-FFF2-40B4-BE49-F238E27FC236}">
                <a16:creationId xmlns:a16="http://schemas.microsoft.com/office/drawing/2014/main" id="{00000000-0008-0000-1E00-000008000000}"/>
              </a:ext>
            </a:extLst>
          </xdr:cNvPr>
          <xdr:cNvSpPr/>
        </xdr:nvSpPr>
        <xdr:spPr>
          <a:xfrm>
            <a:off x="76200" y="600075"/>
            <a:ext cx="384048"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absoluteAnchor>
  <xdr:absoluteAnchor>
    <xdr:pos x="2183342" y="600075"/>
    <xdr:ext cx="1885951" cy="1898650"/>
    <xdr:grpSp>
      <xdr:nvGrpSpPr>
        <xdr:cNvPr id="9" name="Tip Text Group 40" descr="Step 2. 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E00-000009000000}"/>
            </a:ext>
          </a:extLst>
        </xdr:cNvPr>
        <xdr:cNvGrpSpPr/>
      </xdr:nvGrpSpPr>
      <xdr:grpSpPr>
        <a:xfrm>
          <a:off x="2183342" y="600075"/>
          <a:ext cx="1885951" cy="1898650"/>
          <a:chOff x="2183342" y="600075"/>
          <a:chExt cx="1885951" cy="1570445"/>
        </a:xfrm>
      </xdr:grpSpPr>
      <xdr:sp macro="" textlink="">
        <xdr:nvSpPr>
          <xdr:cNvPr id="10" name="Tip Text 40" descr="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E00-00000A000000}"/>
              </a:ext>
            </a:extLst>
          </xdr:cNvPr>
          <xdr:cNvSpPr txBox="1"/>
        </xdr:nvSpPr>
        <xdr:spPr>
          <a:xfrm>
            <a:off x="2628334" y="649589"/>
            <a:ext cx="1440959" cy="1520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Remember that after step 4, a new sheet will be created. And when that happens, remember to drag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Amount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Values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area, and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Buyer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area.</a:t>
            </a:r>
            <a:endParaRPr kumimoji="0" lang="en-US" sz="11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 name="Oval 6" descr="2">
            <a:extLst>
              <a:ext uri="{FF2B5EF4-FFF2-40B4-BE49-F238E27FC236}">
                <a16:creationId xmlns:a16="http://schemas.microsoft.com/office/drawing/2014/main" id="{00000000-0008-0000-1E00-00000B000000}"/>
              </a:ext>
            </a:extLst>
          </xdr:cNvPr>
          <xdr:cNvSpPr/>
        </xdr:nvSpPr>
        <xdr:spPr>
          <a:xfrm>
            <a:off x="2183342" y="600075"/>
            <a:ext cx="385205" cy="30281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absoluteAnchor>
  <xdr:absoluteAnchor>
    <xdr:pos x="5978525" y="600075"/>
    <xdr:ext cx="1847851" cy="1908174"/>
    <xdr:grpSp>
      <xdr:nvGrpSpPr>
        <xdr:cNvPr id="12" name="Tip Text Group 42" descr="Step 4. Tip text &quot;In the dialog box that appears, click OK&quot;">
          <a:extLst>
            <a:ext uri="{FF2B5EF4-FFF2-40B4-BE49-F238E27FC236}">
              <a16:creationId xmlns:a16="http://schemas.microsoft.com/office/drawing/2014/main" id="{00000000-0008-0000-1E00-00000C000000}"/>
            </a:ext>
          </a:extLst>
        </xdr:cNvPr>
        <xdr:cNvGrpSpPr/>
      </xdr:nvGrpSpPr>
      <xdr:grpSpPr>
        <a:xfrm>
          <a:off x="5978525" y="600075"/>
          <a:ext cx="1847851" cy="1908174"/>
          <a:chOff x="5978525" y="600075"/>
          <a:chExt cx="1847851" cy="1908174"/>
        </a:xfrm>
      </xdr:grpSpPr>
      <xdr:sp macro="" textlink="">
        <xdr:nvSpPr>
          <xdr:cNvPr id="13" name="Tip Text 42" descr="Tip text &quot;In the dialog box that appears, click OK&quot;&#10;">
            <a:extLst>
              <a:ext uri="{FF2B5EF4-FFF2-40B4-BE49-F238E27FC236}">
                <a16:creationId xmlns:a16="http://schemas.microsoft.com/office/drawing/2014/main" id="{00000000-0008-0000-1E00-00000D000000}"/>
              </a:ext>
            </a:extLst>
          </xdr:cNvPr>
          <xdr:cNvSpPr txBox="1"/>
        </xdr:nvSpPr>
        <xdr:spPr>
          <a:xfrm>
            <a:off x="6414527" y="649614"/>
            <a:ext cx="1411849" cy="185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dialog box that appears, click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14" name="Oval 8" descr="4">
            <a:extLst>
              <a:ext uri="{FF2B5EF4-FFF2-40B4-BE49-F238E27FC236}">
                <a16:creationId xmlns:a16="http://schemas.microsoft.com/office/drawing/2014/main" id="{00000000-0008-0000-1E00-00000E000000}"/>
              </a:ext>
            </a:extLst>
          </xdr:cNvPr>
          <xdr:cNvSpPr/>
        </xdr:nvSpPr>
        <xdr:spPr>
          <a:xfrm>
            <a:off x="5978525" y="600075"/>
            <a:ext cx="377423" cy="36394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absoluteAnchor>
  <xdr:absoluteAnchor>
    <xdr:pos x="4121149" y="596900"/>
    <xdr:ext cx="1819277" cy="1377950"/>
    <xdr:grpSp>
      <xdr:nvGrpSpPr>
        <xdr:cNvPr id="15" name="Tip Text Group 41" descr="Step 3. Tip text &quot;At the top of Excel, click the Insert tab, and then click the PivotTable button&quot;">
          <a:extLst>
            <a:ext uri="{FF2B5EF4-FFF2-40B4-BE49-F238E27FC236}">
              <a16:creationId xmlns:a16="http://schemas.microsoft.com/office/drawing/2014/main" id="{00000000-0008-0000-1E00-00000F000000}"/>
            </a:ext>
          </a:extLst>
        </xdr:cNvPr>
        <xdr:cNvGrpSpPr/>
      </xdr:nvGrpSpPr>
      <xdr:grpSpPr>
        <a:xfrm>
          <a:off x="4121149" y="596900"/>
          <a:ext cx="1819277" cy="1377950"/>
          <a:chOff x="4121149" y="596900"/>
          <a:chExt cx="1819277" cy="1377950"/>
        </a:xfrm>
      </xdr:grpSpPr>
      <xdr:sp macro="" textlink="">
        <xdr:nvSpPr>
          <xdr:cNvPr id="16" name="Tip Text 41" descr="Tip text &quot;At the top of Excel, click the Insert tab, and then click the PivotTable button&quot;">
            <a:extLst>
              <a:ext uri="{FF2B5EF4-FFF2-40B4-BE49-F238E27FC236}">
                <a16:creationId xmlns:a16="http://schemas.microsoft.com/office/drawing/2014/main" id="{00000000-0008-0000-1E00-000010000000}"/>
              </a:ext>
            </a:extLst>
          </xdr:cNvPr>
          <xdr:cNvSpPr txBox="1"/>
        </xdr:nvSpPr>
        <xdr:spPr>
          <a:xfrm>
            <a:off x="4550410" y="646529"/>
            <a:ext cx="139001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the top of Excel,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tab, and then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PivotTable</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17" name="Oval 7" descr="3">
            <a:extLst>
              <a:ext uri="{FF2B5EF4-FFF2-40B4-BE49-F238E27FC236}">
                <a16:creationId xmlns:a16="http://schemas.microsoft.com/office/drawing/2014/main" id="{00000000-0008-0000-1E00-000011000000}"/>
              </a:ext>
            </a:extLst>
          </xdr:cNvPr>
          <xdr:cNvSpPr/>
        </xdr:nvSpPr>
        <xdr:spPr>
          <a:xfrm>
            <a:off x="4121149"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absoluteAnchor>
  <xdr:absoluteAnchor>
    <xdr:pos x="3451670" y="6388100"/>
    <xdr:ext cx="1227455" cy="182880"/>
    <xdr:sp macro="" textlink="">
      <xdr:nvSpPr>
        <xdr:cNvPr id="1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E00-000012000000}"/>
            </a:ext>
          </a:extLst>
        </xdr:cNvPr>
        <xdr:cNvSpPr/>
      </xdr:nvSpPr>
      <xdr:spPr>
        <a:xfrm>
          <a:off x="3451670" y="6388100"/>
          <a:ext cx="1227455" cy="18288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absoluteAnchor>
</xdr:wsDr>
</file>

<file path=xl/drawings/drawing24.xml><?xml version="1.0" encoding="utf-8"?>
<xdr:wsDr xmlns:xdr="http://schemas.openxmlformats.org/drawingml/2006/spreadsheetDrawing" xmlns:a="http://schemas.openxmlformats.org/drawingml/2006/main">
  <xdr:oneCellAnchor>
    <xdr:from>
      <xdr:col>1</xdr:col>
      <xdr:colOff>202165</xdr:colOff>
      <xdr:row>14</xdr:row>
      <xdr:rowOff>83872</xdr:rowOff>
    </xdr:from>
    <xdr:ext cx="8957561" cy="3175"/>
    <xdr:cxnSp macro="">
      <xdr:nvCxnSpPr>
        <xdr:cNvPr id="2" name="Straight Connector 1" descr="Decorative line">
          <a:extLst>
            <a:ext uri="{FF2B5EF4-FFF2-40B4-BE49-F238E27FC236}">
              <a16:creationId xmlns:a16="http://schemas.microsoft.com/office/drawing/2014/main" id="{00000000-0008-0000-1F00-000002000000}"/>
            </a:ext>
          </a:extLst>
        </xdr:cNvPr>
        <xdr:cNvCxnSpPr/>
      </xdr:nvCxnSpPr>
      <xdr:spPr>
        <a:xfrm>
          <a:off x="818115" y="2661972"/>
          <a:ext cx="8957561" cy="3175"/>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absoluteAnchor>
    <xdr:pos x="171451" y="266700"/>
    <xdr:ext cx="9728481" cy="5727377"/>
    <xdr:sp macro="" textlink="">
      <xdr:nvSpPr>
        <xdr:cNvPr id="3" name="Rectangle 2" descr="Background">
          <a:extLst>
            <a:ext uri="{FF2B5EF4-FFF2-40B4-BE49-F238E27FC236}">
              <a16:creationId xmlns:a16="http://schemas.microsoft.com/office/drawing/2014/main" id="{00000000-0008-0000-1F00-000003000000}"/>
            </a:ext>
          </a:extLst>
        </xdr:cNvPr>
        <xdr:cNvSpPr/>
      </xdr:nvSpPr>
      <xdr:spPr>
        <a:xfrm>
          <a:off x="171451" y="266700"/>
          <a:ext cx="9728481" cy="5727377"/>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absoluteAnchor>
  <xdr:absoluteAnchor>
    <xdr:pos x="171451" y="1314296"/>
    <xdr:ext cx="9738036" cy="4679782"/>
    <xdr:sp macro="" textlink="">
      <xdr:nvSpPr>
        <xdr:cNvPr id="4" name="Rectangle 3" descr="Background">
          <a:extLst>
            <a:ext uri="{FF2B5EF4-FFF2-40B4-BE49-F238E27FC236}">
              <a16:creationId xmlns:a16="http://schemas.microsoft.com/office/drawing/2014/main" id="{00000000-0008-0000-1F00-000004000000}"/>
            </a:ext>
          </a:extLst>
        </xdr:cNvPr>
        <xdr:cNvSpPr/>
      </xdr:nvSpPr>
      <xdr:spPr>
        <a:xfrm>
          <a:off x="171451" y="1314296"/>
          <a:ext cx="9738036" cy="467978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absoluteAnchor>
  <xdr:absoluteAnchor>
    <xdr:pos x="805710" y="1298575"/>
    <xdr:ext cx="8627347" cy="939800"/>
    <xdr:sp macro="" textlink="">
      <xdr:nvSpPr>
        <xdr:cNvPr id="5" name="Welcome Message" descr="But keep going! There's more to learn...&#10;">
          <a:extLst>
            <a:ext uri="{FF2B5EF4-FFF2-40B4-BE49-F238E27FC236}">
              <a16:creationId xmlns:a16="http://schemas.microsoft.com/office/drawing/2014/main" id="{00000000-0008-0000-1F00-000005000000}"/>
            </a:ext>
          </a:extLst>
        </xdr:cNvPr>
        <xdr:cNvSpPr txBox="1"/>
      </xdr:nvSpPr>
      <xdr:spPr>
        <a:xfrm>
          <a:off x="805710" y="1298575"/>
          <a:ext cx="8627347" cy="93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keep going! There's more to learn...</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absoluteAnchor>
  <xdr:absoluteAnchor>
    <xdr:pos x="777056" y="260350"/>
    <xdr:ext cx="7976871" cy="1043267"/>
    <xdr:sp macro="" textlink="">
      <xdr:nvSpPr>
        <xdr:cNvPr id="6" name="Welcome Message" descr="Good job. You made it">
          <a:extLst>
            <a:ext uri="{FF2B5EF4-FFF2-40B4-BE49-F238E27FC236}">
              <a16:creationId xmlns:a16="http://schemas.microsoft.com/office/drawing/2014/main" id="{00000000-0008-0000-1F00-000006000000}"/>
            </a:ext>
          </a:extLst>
        </xdr:cNvPr>
        <xdr:cNvSpPr txBox="1"/>
      </xdr:nvSpPr>
      <xdr:spPr>
        <a:xfrm>
          <a:off x="777056" y="260350"/>
          <a:ext cx="7976871" cy="10432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You made it.</a:t>
          </a:r>
          <a:endParaRPr lang="en-US" sz="2600" b="0">
            <a:latin typeface="Segoe UI Light" pitchFamily="34" charset="0"/>
            <a:ea typeface="Segoe UI" pitchFamily="34" charset="0"/>
            <a:cs typeface="Segoe UI" pitchFamily="34" charset="0"/>
          </a:endParaRPr>
        </a:p>
      </xdr:txBody>
    </xdr:sp>
    <xdr:clientData/>
  </xdr:absoluteAnchor>
  <xdr:absoluteAnchor>
    <xdr:pos x="8728869" y="5008747"/>
    <xdr:ext cx="458359" cy="424672"/>
    <xdr:sp macro="" textlink="">
      <xdr:nvSpPr>
        <xdr:cNvPr id="7" name="Freeform 10" descr="Hyperlinked to 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F00-000007000000}"/>
            </a:ext>
          </a:extLst>
        </xdr:cNvPr>
        <xdr:cNvSpPr/>
      </xdr:nvSpPr>
      <xdr:spPr>
        <a:xfrm>
          <a:off x="8728869" y="5008747"/>
          <a:ext cx="458359" cy="42467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absoluteAnchor>
  <xdr:absoluteAnchor>
    <xdr:pos x="3712388" y="4990791"/>
    <xdr:ext cx="4958313" cy="442458"/>
    <xdr:sp macro="" textlink="">
      <xdr:nvSpPr>
        <xdr:cNvPr id="8" name="TextBox 7" descr="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F00-000008000000}"/>
            </a:ext>
          </a:extLst>
        </xdr:cNvPr>
        <xdr:cNvSpPr txBox="1"/>
      </xdr:nvSpPr>
      <xdr:spPr>
        <a:xfrm>
          <a:off x="3712388" y="4990791"/>
          <a:ext cx="4958313" cy="442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absoluteAnchor>
  <xdr:absoluteAnchor>
    <xdr:pos x="817691" y="4856396"/>
    <xdr:ext cx="8466009" cy="0"/>
    <xdr:cxnSp macro="">
      <xdr:nvCxnSpPr>
        <xdr:cNvPr id="9" name="Straight Connector 8" descr="Decorative line">
          <a:extLst>
            <a:ext uri="{FF2B5EF4-FFF2-40B4-BE49-F238E27FC236}">
              <a16:creationId xmlns:a16="http://schemas.microsoft.com/office/drawing/2014/main" id="{00000000-0008-0000-1F00-000009000000}"/>
            </a:ext>
          </a:extLst>
        </xdr:cNvPr>
        <xdr:cNvCxnSpPr/>
      </xdr:nvCxnSpPr>
      <xdr:spPr>
        <a:xfrm>
          <a:off x="817691" y="4856396"/>
          <a:ext cx="8466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absoluteAnchor>
    <xdr:pos x="7888856" y="2249751"/>
    <xdr:ext cx="1422400" cy="1488440"/>
    <xdr:sp macro="" textlink="">
      <xdr:nvSpPr>
        <xdr:cNvPr id="10" name="TextBox 9" descr="Community&#10;Connect with other Excel fans. They can help you, and you can help them&#10;">
          <a:hlinkClick xmlns:r="http://schemas.openxmlformats.org/officeDocument/2006/relationships" r:id="rId2" tooltip="Select to connect with a community"/>
          <a:extLst>
            <a:ext uri="{FF2B5EF4-FFF2-40B4-BE49-F238E27FC236}">
              <a16:creationId xmlns:a16="http://schemas.microsoft.com/office/drawing/2014/main" id="{00000000-0008-0000-1F00-00000A000000}"/>
            </a:ext>
          </a:extLst>
        </xdr:cNvPr>
        <xdr:cNvSpPr txBox="1"/>
      </xdr:nvSpPr>
      <xdr:spPr>
        <a:xfrm>
          <a:off x="7888856" y="2249751"/>
          <a:ext cx="1422400" cy="1488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Connect with other Excel fans. They can help you, and you can help them.</a:t>
          </a:r>
        </a:p>
      </xdr:txBody>
    </xdr:sp>
    <xdr:clientData/>
  </xdr:absoluteAnchor>
  <xdr:absoluteAnchor>
    <xdr:pos x="5417534" y="2251072"/>
    <xdr:ext cx="1371600" cy="1488440"/>
    <xdr:sp macro="" textlink="">
      <xdr:nvSpPr>
        <xdr:cNvPr id="11" name="TextBox 10" descr="LinkedIn Learning&#10;Video courses for all levels—from beginner to advanced. Take at your own pace&#10;">
          <a:hlinkClick xmlns:r="http://schemas.openxmlformats.org/officeDocument/2006/relationships" r:id="rId3" tooltip="Select to learn more about LinkedIn Learning"/>
          <a:extLst>
            <a:ext uri="{FF2B5EF4-FFF2-40B4-BE49-F238E27FC236}">
              <a16:creationId xmlns:a16="http://schemas.microsoft.com/office/drawing/2014/main" id="{00000000-0008-0000-1F00-00000B000000}"/>
            </a:ext>
          </a:extLst>
        </xdr:cNvPr>
        <xdr:cNvSpPr txBox="1"/>
      </xdr:nvSpPr>
      <xdr:spPr>
        <a:xfrm>
          <a:off x="5417534" y="2251072"/>
          <a:ext cx="1371600" cy="1488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a:t>
          </a:r>
          <a:r>
            <a:rPr lang="en-US" sz="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your</a:t>
          </a:r>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 own pace.</a:t>
          </a:r>
        </a:p>
      </xdr:txBody>
    </xdr:sp>
    <xdr:clientData/>
  </xdr:absoluteAnchor>
  <xdr:absoluteAnchor>
    <xdr:pos x="4865086" y="2343150"/>
    <xdr:ext cx="548213" cy="354720"/>
    <xdr:pic>
      <xdr:nvPicPr>
        <xdr:cNvPr id="12" name="Picture 11" descr="Video icon">
          <a:extLst>
            <a:ext uri="{FF2B5EF4-FFF2-40B4-BE49-F238E27FC236}">
              <a16:creationId xmlns:a16="http://schemas.microsoft.com/office/drawing/2014/main" id="{00000000-0008-0000-1F00-00000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a:stretch/>
      </xdr:blipFill>
      <xdr:spPr>
        <a:xfrm>
          <a:off x="4865086" y="2343150"/>
          <a:ext cx="548213" cy="354720"/>
        </a:xfrm>
        <a:prstGeom prst="rect">
          <a:avLst/>
        </a:prstGeom>
      </xdr:spPr>
    </xdr:pic>
    <xdr:clientData/>
  </xdr:absoluteAnchor>
  <xdr:absoluteAnchor>
    <xdr:pos x="1387474" y="3792015"/>
    <xdr:ext cx="1222244" cy="428975"/>
    <xdr:sp macro="" textlink="">
      <xdr:nvSpPr>
        <xdr:cNvPr id="13" name="TextBox 12" descr="Learn more">
          <a:hlinkClick xmlns:r="http://schemas.openxmlformats.org/officeDocument/2006/relationships" r:id="rId5" tooltip="Select to learn more about PivotTables"/>
          <a:extLst>
            <a:ext uri="{FF2B5EF4-FFF2-40B4-BE49-F238E27FC236}">
              <a16:creationId xmlns:a16="http://schemas.microsoft.com/office/drawing/2014/main" id="{00000000-0008-0000-1F00-00000D000000}"/>
            </a:ext>
          </a:extLst>
        </xdr:cNvPr>
        <xdr:cNvSpPr txBox="1"/>
      </xdr:nvSpPr>
      <xdr:spPr>
        <a:xfrm>
          <a:off x="1387474" y="3792015"/>
          <a:ext cx="1222244" cy="428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absoluteAnchor>
  <xdr:absoluteAnchor>
    <xdr:pos x="1387473" y="2247899"/>
    <xdr:ext cx="1371600" cy="1488440"/>
    <xdr:sp macro="" textlink="">
      <xdr:nvSpPr>
        <xdr:cNvPr id="14" name="TextBox 13" descr="More Pivot info&#10;Discover more you can do by reading this helpful article on PivotTables&#10;">
          <a:hlinkClick xmlns:r="http://schemas.openxmlformats.org/officeDocument/2006/relationships" r:id="rId5" tooltip="Select to learn more about PivotTables"/>
          <a:extLst>
            <a:ext uri="{FF2B5EF4-FFF2-40B4-BE49-F238E27FC236}">
              <a16:creationId xmlns:a16="http://schemas.microsoft.com/office/drawing/2014/main" id="{00000000-0008-0000-1F00-00000E000000}"/>
            </a:ext>
          </a:extLst>
        </xdr:cNvPr>
        <xdr:cNvSpPr txBox="1"/>
      </xdr:nvSpPr>
      <xdr:spPr>
        <a:xfrm>
          <a:off x="1387473" y="2247899"/>
          <a:ext cx="1371600" cy="1488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More pivot info</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Discover more you can do by reading this helpful article on PivotTables.</a:t>
          </a:r>
        </a:p>
      </xdr:txBody>
    </xdr:sp>
    <xdr:clientData/>
  </xdr:absoluteAnchor>
  <xdr:absoluteAnchor>
    <xdr:pos x="873125" y="2343150"/>
    <xdr:ext cx="550870" cy="385270"/>
    <xdr:pic>
      <xdr:nvPicPr>
        <xdr:cNvPr id="15" name="Picture 14" descr="Page icon">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6"/>
        <a:stretch>
          <a:fillRect/>
        </a:stretch>
      </xdr:blipFill>
      <xdr:spPr>
        <a:xfrm>
          <a:off x="873125" y="2343150"/>
          <a:ext cx="550870" cy="385270"/>
        </a:xfrm>
        <a:prstGeom prst="rect">
          <a:avLst/>
        </a:prstGeom>
      </xdr:spPr>
    </xdr:pic>
    <xdr:clientData/>
  </xdr:absoluteAnchor>
  <xdr:absoluteAnchor>
    <xdr:pos x="2750864" y="2324100"/>
    <xdr:ext cx="633576" cy="319231"/>
    <xdr:grpSp>
      <xdr:nvGrpSpPr>
        <xdr:cNvPr id="16" name="Group 15" descr="Data cleaning icon">
          <a:extLst>
            <a:ext uri="{FF2B5EF4-FFF2-40B4-BE49-F238E27FC236}">
              <a16:creationId xmlns:a16="http://schemas.microsoft.com/office/drawing/2014/main" id="{00000000-0008-0000-1F00-000010000000}"/>
            </a:ext>
          </a:extLst>
        </xdr:cNvPr>
        <xdr:cNvGrpSpPr/>
      </xdr:nvGrpSpPr>
      <xdr:grpSpPr>
        <a:xfrm>
          <a:off x="2750864" y="2324100"/>
          <a:ext cx="633576" cy="319231"/>
          <a:chOff x="10096500" y="4114799"/>
          <a:chExt cx="914400" cy="476251"/>
        </a:xfrm>
      </xdr:grpSpPr>
      <xdr:pic>
        <xdr:nvPicPr>
          <xdr:cNvPr id="17" name="Graphic 16" descr="Monthly calendar">
            <a:extLst>
              <a:ext uri="{FF2B5EF4-FFF2-40B4-BE49-F238E27FC236}">
                <a16:creationId xmlns:a16="http://schemas.microsoft.com/office/drawing/2014/main" id="{00000000-0008-0000-1F00-000011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t="42708" b="30208"/>
          <a:stretch/>
        </xdr:blipFill>
        <xdr:spPr>
          <a:xfrm>
            <a:off x="10096500" y="4343399"/>
            <a:ext cx="914400" cy="247651"/>
          </a:xfrm>
          <a:prstGeom prst="rect">
            <a:avLst/>
          </a:prstGeom>
        </xdr:spPr>
      </xdr:pic>
      <xdr:pic>
        <xdr:nvPicPr>
          <xdr:cNvPr id="18" name="Graphic 17" descr="Monthly calendar">
            <a:extLst>
              <a:ext uri="{FF2B5EF4-FFF2-40B4-BE49-F238E27FC236}">
                <a16:creationId xmlns:a16="http://schemas.microsoft.com/office/drawing/2014/main" id="{00000000-0008-0000-1F00-000012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t="42708" b="30208"/>
          <a:stretch/>
        </xdr:blipFill>
        <xdr:spPr>
          <a:xfrm>
            <a:off x="10096500" y="4114799"/>
            <a:ext cx="914400" cy="247651"/>
          </a:xfrm>
          <a:prstGeom prst="rect">
            <a:avLst/>
          </a:prstGeom>
        </xdr:spPr>
      </xdr:pic>
      <xdr:pic>
        <xdr:nvPicPr>
          <xdr:cNvPr id="19" name="Graphic 18" descr="Mop and bucket">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458450" y="4152900"/>
            <a:ext cx="428625" cy="428625"/>
          </a:xfrm>
          <a:prstGeom prst="rect">
            <a:avLst/>
          </a:prstGeom>
        </xdr:spPr>
      </xdr:pic>
    </xdr:grpSp>
    <xdr:clientData/>
  </xdr:absoluteAnchor>
  <xdr:absoluteAnchor>
    <xdr:pos x="3298714" y="2209800"/>
    <xdr:ext cx="1371600" cy="1488440"/>
    <xdr:sp macro="" textlink="">
      <xdr:nvSpPr>
        <xdr:cNvPr id="20" name="TextBox 19" descr="Clean data is key&#10;Excel can help. Check out this article to learn more about Get &amp; Transform">
          <a:hlinkClick xmlns:r="http://schemas.openxmlformats.org/officeDocument/2006/relationships" r:id="rId11" tooltip="Select to learn more about Get &amp; Transform"/>
          <a:extLst>
            <a:ext uri="{FF2B5EF4-FFF2-40B4-BE49-F238E27FC236}">
              <a16:creationId xmlns:a16="http://schemas.microsoft.com/office/drawing/2014/main" id="{00000000-0008-0000-1F00-000014000000}"/>
            </a:ext>
          </a:extLst>
        </xdr:cNvPr>
        <xdr:cNvSpPr txBox="1"/>
      </xdr:nvSpPr>
      <xdr:spPr>
        <a:xfrm>
          <a:off x="3298714" y="2209800"/>
          <a:ext cx="1371600" cy="1488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Clean data is key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Excel can help. Check out this article to learn more about Get &amp; Transform.</a:t>
          </a:r>
        </a:p>
      </xdr:txBody>
    </xdr:sp>
    <xdr:clientData/>
  </xdr:absoluteAnchor>
  <xdr:absoluteAnchor>
    <xdr:pos x="3311524" y="3792015"/>
    <xdr:ext cx="1222244" cy="428975"/>
    <xdr:sp macro="" textlink="">
      <xdr:nvSpPr>
        <xdr:cNvPr id="21" name="TextBox 20" descr="Learn more">
          <a:hlinkClick xmlns:r="http://schemas.openxmlformats.org/officeDocument/2006/relationships" r:id="rId11" tooltip="Select to learn more about Get &amp; Transform"/>
          <a:extLst>
            <a:ext uri="{FF2B5EF4-FFF2-40B4-BE49-F238E27FC236}">
              <a16:creationId xmlns:a16="http://schemas.microsoft.com/office/drawing/2014/main" id="{00000000-0008-0000-1F00-000015000000}"/>
            </a:ext>
          </a:extLst>
        </xdr:cNvPr>
        <xdr:cNvSpPr txBox="1"/>
      </xdr:nvSpPr>
      <xdr:spPr>
        <a:xfrm>
          <a:off x="3311524" y="3792015"/>
          <a:ext cx="1222244" cy="428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absoluteAnchor>
  <xdr:absoluteAnchor>
    <xdr:pos x="5416549" y="3801540"/>
    <xdr:ext cx="1222244" cy="422625"/>
    <xdr:sp macro="" textlink="">
      <xdr:nvSpPr>
        <xdr:cNvPr id="22" name="TextBox 21" descr="Learn more">
          <a:hlinkClick xmlns:r="http://schemas.openxmlformats.org/officeDocument/2006/relationships" r:id="rId3" tooltip="Select to learn more about LinkedIn Learning"/>
          <a:extLst>
            <a:ext uri="{FF2B5EF4-FFF2-40B4-BE49-F238E27FC236}">
              <a16:creationId xmlns:a16="http://schemas.microsoft.com/office/drawing/2014/main" id="{00000000-0008-0000-1F00-000016000000}"/>
            </a:ext>
          </a:extLst>
        </xdr:cNvPr>
        <xdr:cNvSpPr txBox="1"/>
      </xdr:nvSpPr>
      <xdr:spPr>
        <a:xfrm>
          <a:off x="5416549" y="3801540"/>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absoluteAnchor>
  <xdr:absoluteAnchor>
    <xdr:pos x="7908924" y="3792015"/>
    <xdr:ext cx="1273044" cy="428975"/>
    <xdr:sp macro="" textlink="">
      <xdr:nvSpPr>
        <xdr:cNvPr id="23" name="TextBox 22" descr="Learn more">
          <a:hlinkClick xmlns:r="http://schemas.openxmlformats.org/officeDocument/2006/relationships" r:id="rId2" tooltip="Select to connect with a community"/>
          <a:extLst>
            <a:ext uri="{FF2B5EF4-FFF2-40B4-BE49-F238E27FC236}">
              <a16:creationId xmlns:a16="http://schemas.microsoft.com/office/drawing/2014/main" id="{00000000-0008-0000-1F00-000017000000}"/>
            </a:ext>
          </a:extLst>
        </xdr:cNvPr>
        <xdr:cNvSpPr txBox="1"/>
      </xdr:nvSpPr>
      <xdr:spPr>
        <a:xfrm>
          <a:off x="7908924" y="3792015"/>
          <a:ext cx="1273044" cy="428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absoluteAnchor>
  <xdr:absoluteAnchor>
    <xdr:pos x="6911975" y="2305050"/>
    <xdr:ext cx="999410" cy="436118"/>
    <xdr:pic>
      <xdr:nvPicPr>
        <xdr:cNvPr id="24" name="Picture 23" descr="Community">
          <a:extLst>
            <a:ext uri="{FF2B5EF4-FFF2-40B4-BE49-F238E27FC236}">
              <a16:creationId xmlns:a16="http://schemas.microsoft.com/office/drawing/2014/main" id="{00000000-0008-0000-1F00-000018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11975" y="2305050"/>
          <a:ext cx="999410" cy="436118"/>
        </a:xfrm>
        <a:prstGeom prst="rect">
          <a:avLst/>
        </a:prstGeom>
      </xdr:spPr>
    </xdr:pic>
    <xdr:clientData/>
  </xdr:absolute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2" Type="http://schemas.microsoft.com/office/2006/relationships/xlExternalLinkPath/xlPathMissing" Target="PivotTable%20tutorial1" TargetMode="External"/><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766204" createdVersion="6" refreshedVersion="6" minRefreshableVersion="3" recordCount="7" xr:uid="{2D0BDC18-840C-4038-9235-3FB04698A908}">
  <cacheSource type="worksheet">
    <worksheetSource name="Expenses1" r:id="rId2"/>
  </cacheSource>
  <cacheFields count="4">
    <cacheField name="Date" numFmtId="165">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8703703" createdVersion="6" refreshedVersion="6" minRefreshableVersion="3" recordCount="7" xr:uid="{B515EDA6-9063-48F9-AC0F-2A3630012596}">
  <cacheSource type="worksheet">
    <worksheetSource name="Expenses2" r:id="rId2"/>
  </cacheSource>
  <cacheFields count="4">
    <cacheField name="Date" numFmtId="165">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8819441" createdVersion="6" refreshedVersion="6" minRefreshableVersion="3" recordCount="7" xr:uid="{3075C3D0-3541-4E10-8F6A-2C2AA2BA7E2B}">
  <cacheSource type="worksheet">
    <worksheetSource name="Expenses3" r:id="rId2"/>
  </cacheSource>
  <cacheFields count="4">
    <cacheField name="Date" numFmtId="165">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050926" createdVersion="6" refreshedVersion="6" minRefreshableVersion="3" recordCount="7" xr:uid="{B059B11C-473E-45AA-A99D-598849A1C317}">
  <cacheSource type="worksheet">
    <worksheetSource name="Expenses7" r:id="rId2"/>
  </cacheSource>
  <cacheFields count="4">
    <cacheField name="Date" numFmtId="165">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398149" createdVersion="6" refreshedVersion="6" minRefreshableVersion="3" recordCount="7" xr:uid="{D4CD6151-06AE-4D18-8961-BAB4D2BA5A01}">
  <cacheSource type="worksheet">
    <worksheetSource name="Expenses8" r:id="rId2"/>
  </cacheSource>
  <cacheFields count="4">
    <cacheField name="Date" numFmtId="165">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513888" createdVersion="6" refreshedVersion="6" minRefreshableVersion="3" recordCount="7" xr:uid="{11D87E4D-805F-4A0A-BE8F-4EA4AB050A16}">
  <cacheSource type="worksheet">
    <worksheetSource name="Expenses9" r:id="rId2"/>
  </cacheSource>
  <cacheFields count="4">
    <cacheField name="Date" numFmtId="165">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629626" createdVersion="6" refreshedVersion="6" minRefreshableVersion="3" recordCount="7" xr:uid="{368C9D2A-BDAC-445C-B578-EA777D3E4A06}">
  <cacheSource type="worksheet">
    <worksheetSource name="Expenses10" r:id="rId2"/>
  </cacheSource>
  <cacheFields count="4">
    <cacheField name="Date" numFmtId="165">
      <sharedItems containsSemiMixedTypes="0" containsNonDate="0" containsDate="1" containsString="0" minDate="2017-01-01T00:00:00" maxDate="2017-02-26T00:00:00"/>
    </cacheField>
    <cacheField name="Buyer" numFmtId="0">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97685" createdVersion="6" refreshedVersion="6" minRefreshableVersion="3" recordCount="7" xr:uid="{011418F0-872D-4141-B166-DA8BAB58C8F3}">
  <cacheSource type="worksheet">
    <worksheetSource name="Expenses11" r:id="rId2"/>
  </cacheSource>
  <cacheFields count="4">
    <cacheField name="Date" numFmtId="165">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092596" createdVersion="6" refreshedVersion="6" minRefreshableVersion="3" recordCount="7" xr:uid="{962DDE0C-3CED-4E5D-B23E-B5A08D6305BF}">
  <cacheSource type="worksheet">
    <worksheetSource name="Expenses12" r:id="rId2"/>
  </cacheSource>
  <cacheFields count="4">
    <cacheField name="Date" numFmtId="165">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902781" createdVersion="6" refreshedVersion="6" minRefreshableVersion="3" recordCount="7" xr:uid="{07D3A8DD-D44C-49E9-B14D-9577D68A98EF}">
  <cacheSource type="worksheet">
    <worksheetSource name="Expenses13" r:id="rId2"/>
  </cacheSource>
  <cacheFields count="4">
    <cacheField name="Date" numFmtId="165">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439811" createdVersion="6" refreshedVersion="6" minRefreshableVersion="3" recordCount="7" xr:uid="{203A8406-BF73-47D9-ADF7-40819017B0A0}">
  <cacheSource type="worksheet">
    <worksheetSource name="Expenses18" r:id="rId2"/>
  </cacheSource>
  <cacheFields count="5">
    <cacheField name="Date" numFmtId="165">
      <sharedItems containsSemiMixedTypes="0" containsNonDate="0" containsDate="1" containsString="0" minDate="2017-01-01T00:00:00" maxDate="2017-02-26T00:00:00" count="7">
        <d v="2017-01-01T00:00:00"/>
        <d v="2017-01-15T00:00:00"/>
        <d v="2017-01-17T00:00:00"/>
        <d v="2017-01-21T00:00:00"/>
        <d v="2017-02-02T00:00:00"/>
        <d v="2017-02-20T00:00:00"/>
        <d v="2017-02-25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s v="Mom"/>
    <x v="0"/>
    <n v="74"/>
  </r>
  <r>
    <d v="2017-01-15T00:00:00"/>
    <s v="Mom"/>
    <x v="1"/>
    <n v="235"/>
  </r>
  <r>
    <d v="2017-01-17T00:00:00"/>
    <s v="Dad"/>
    <x v="2"/>
    <n v="20"/>
  </r>
  <r>
    <d v="2017-01-21T00:00:00"/>
    <s v="Kelly"/>
    <x v="3"/>
    <n v="125"/>
  </r>
  <r>
    <d v="2017-02-02T00:00:00"/>
    <s v="Mom"/>
    <x v="1"/>
    <n v="235"/>
  </r>
  <r>
    <d v="2017-02-20T00:00:00"/>
    <s v="Kelly"/>
    <x v="4"/>
    <n v="20"/>
  </r>
  <r>
    <d v="2017-02-25T00:00:00"/>
    <s v="Kelly"/>
    <x v="5"/>
    <n v="12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s v="Fuel"/>
    <n v="74"/>
  </r>
  <r>
    <x v="1"/>
    <x v="0"/>
    <s v="Food"/>
    <n v="235"/>
  </r>
  <r>
    <x v="2"/>
    <x v="1"/>
    <s v="Sports"/>
    <n v="20"/>
  </r>
  <r>
    <x v="3"/>
    <x v="2"/>
    <s v="Books"/>
    <n v="125"/>
  </r>
  <r>
    <x v="4"/>
    <x v="0"/>
    <s v="Food"/>
    <n v="235"/>
  </r>
  <r>
    <x v="5"/>
    <x v="2"/>
    <s v="Music"/>
    <n v="20"/>
  </r>
  <r>
    <x v="6"/>
    <x v="2"/>
    <s v="Tickets"/>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C5ADC9-8C42-4A2B-B376-FE63FF05088D}"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howAll="0"/>
    <pivotField axis="axisRow" compact="0" outline="0" showAll="0">
      <items count="4">
        <item x="1"/>
        <item x="0"/>
        <item x="2"/>
        <item t="default"/>
      </items>
    </pivotField>
    <pivotField compact="0" outline="0" showAll="0"/>
    <pivotField dataField="1" compact="0" numFmtId="44" outline="0" showAll="0"/>
  </pivotFields>
  <rowFields count="1">
    <field x="1"/>
  </rowFields>
  <rowItems count="4">
    <i>
      <x/>
    </i>
    <i>
      <x v="1"/>
    </i>
    <i>
      <x v="2"/>
    </i>
    <i t="grand">
      <x/>
    </i>
  </rowItems>
  <colItems count="1">
    <i/>
  </colItems>
  <dataFields count="1">
    <dataField name="Sum of Amount" fld="3" baseField="0" baseItem="0" numFmtId="5"/>
  </dataFields>
  <formats count="2">
    <format dxfId="125">
      <pivotArea outline="0" collapsedLevelsAreSubtotals="1" fieldPosition="0">
        <references count="1">
          <reference field="1" count="0" selected="0"/>
        </references>
      </pivotArea>
    </format>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imple PivotTable summarizing the data contained in Expenses1 table"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E3E215-EB8F-413F-AC3D-34D7592458D0}"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0:K18" firstHeaderRow="1" firstDataRow="2" firstDataCol="1"/>
  <pivotFields count="4">
    <pivotField compact="0" numFmtId="16" outline="0" subtotalTop="0" showAll="0"/>
    <pivotField axis="axisCol" compact="0" outline="0" subtotalTop="0" showAll="0">
      <items count="4">
        <item x="1"/>
        <item x="2"/>
        <item x="0"/>
        <item t="default"/>
      </items>
    </pivotField>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2" baseItem="0" numFmtId="5"/>
  </dataFields>
  <formats count="1">
    <format dxfId="1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A more sophisticated PivotTable showing spending amounts broken down by type of purchase and by buyer"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3FC2C3-916D-4249-9569-6A3DD609A0D1}"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0:K18" firstHeaderRow="1" firstDataRow="2" firstDataCol="1"/>
  <pivotFields count="4">
    <pivotField numFmtId="16" subtotalTop="0" showAll="0"/>
    <pivotField axis="axisCol" subtotalTop="0" showAll="0">
      <items count="4">
        <item x="1"/>
        <item x="2"/>
        <item x="0"/>
        <item t="default"/>
      </items>
    </pivotField>
    <pivotField axis="axisRow" subtotalTop="0" showAll="0">
      <items count="7">
        <item x="3"/>
        <item x="1"/>
        <item x="0"/>
        <item x="4"/>
        <item x="2"/>
        <item x="5"/>
        <item t="default"/>
      </items>
    </pivotField>
    <pivotField dataField="1" numFmtId="44"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0" baseItem="0" numFmtId="5"/>
  </dataFields>
  <formats count="1">
    <format dxfId="11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2">
          <reference field="4294967294" count="1" selected="0">
            <x v="0"/>
          </reference>
          <reference field="1" count="1" selected="0">
            <x v="0"/>
          </reference>
        </references>
      </pivotArea>
    </chartFormat>
    <chartFormat chart="2" format="5" series="1">
      <pivotArea type="data" outline="0" fieldPosition="0">
        <references count="2">
          <reference field="4294967294" count="1" selected="0">
            <x v="0"/>
          </reference>
          <reference field="1" count="1" selected="0">
            <x v="1"/>
          </reference>
        </references>
      </pivotArea>
    </chartFormat>
    <chartFormat chart="2" format="6"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data used to create the PivotChart"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94F401-67C1-4148-A3A7-3B38A96BE215}" name="PivotTable7"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0:H11"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5"/>
  </dataFields>
  <formats count="2">
    <format dxfId="85">
      <pivotArea outline="0" collapsedLevelsAreSubtotals="1" fieldPosition="0"/>
    </format>
    <format dxfId="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7 table"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83DA7C-B9DE-41AC-AE7D-6D48792B5093}" name="PivotTable8"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1:H12"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164"/>
  </dataFields>
  <formats count="1">
    <format dxfId="7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8 table illustrating how numeric values turn into field values in a PivotTable"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4ED3E4-D94E-45C0-8B7E-FC1B2211E3DE}" name="PivotTable9"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1:I15"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13">
    <format dxfId="70">
      <pivotArea outline="0" collapsedLevelsAreSubtotals="1" fieldPosition="0"/>
    </format>
    <format dxfId="69">
      <pivotArea dataOnly="0" labelOnly="1" outline="0" fieldPosition="0">
        <references count="1">
          <reference field="1" count="0"/>
        </references>
      </pivotArea>
    </format>
    <format dxfId="68">
      <pivotArea dataOnly="0" labelOnly="1" outline="0" fieldPosition="0">
        <references count="1">
          <reference field="1" count="0"/>
        </references>
      </pivotArea>
    </format>
    <format dxfId="67">
      <pivotArea dataOnly="0" labelOnly="1" outline="0" fieldPosition="0">
        <references count="1">
          <reference field="1" count="0"/>
        </references>
      </pivotArea>
    </format>
    <format dxfId="66">
      <pivotArea dataOnly="0" labelOnly="1" outline="0" fieldPosition="0">
        <references count="1">
          <reference field="1" count="1">
            <x v="0"/>
          </reference>
        </references>
      </pivotArea>
    </format>
    <format dxfId="65">
      <pivotArea dataOnly="0" labelOnly="1" outline="0" fieldPosition="0">
        <references count="1">
          <reference field="1" count="1">
            <x v="0"/>
          </reference>
        </references>
      </pivotArea>
    </format>
    <format dxfId="64">
      <pivotArea field="1" type="button" dataOnly="0" labelOnly="1" outline="0" axis="axisRow" fieldPosition="0"/>
    </format>
    <format dxfId="63">
      <pivotArea dataOnly="0" labelOnly="1" outline="0" fieldPosition="0">
        <references count="1">
          <reference field="1" count="0"/>
        </references>
      </pivotArea>
    </format>
    <format dxfId="62">
      <pivotArea field="1" type="button" dataOnly="0" labelOnly="1" outline="0" axis="axisRow" fieldPosition="0"/>
    </format>
    <format dxfId="61">
      <pivotArea dataOnly="0" labelOnly="1" outline="0" fieldPosition="0">
        <references count="1">
          <reference field="1" count="0"/>
        </references>
      </pivotArea>
    </format>
    <format dxfId="60">
      <pivotArea field="1" type="button" dataOnly="0" labelOnly="1" outline="0" axis="axisRow" fieldPosition="0"/>
    </format>
    <format dxfId="59">
      <pivotArea dataOnly="0" labelOnly="1" outline="0" fieldPosition="0">
        <references count="1">
          <reference field="1" count="0"/>
        </references>
      </pivotArea>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n added conditio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93C7E9E-5C58-46A4-BB83-0726095E7654}" name="PivotTable10" cacheId="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7" firstHeaderRow="1" firstDataRow="1" firstDataCol="1"/>
  <pivotFields count="4">
    <pivotField compact="0" numFmtId="16" outline="0" subtotalTop="0" showAll="0"/>
    <pivotField compact="0" outline="0" subtotalTop="0" showAll="0"/>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Items count="1">
    <i/>
  </colItems>
  <dataFields count="1">
    <dataField name="Sum of Amount" fld="3" baseField="0" baseItem="0" numFmtId="5"/>
  </dataFields>
  <formats count="11">
    <format dxfId="51">
      <pivotArea outline="0" collapsedLevelsAreSubtotals="1" fieldPosition="0"/>
    </format>
    <format dxfId="50">
      <pivotArea dataOnly="0" labelOnly="1" outline="0" fieldPosition="0">
        <references count="1">
          <reference field="2" count="0"/>
        </references>
      </pivotArea>
    </format>
    <format dxfId="49">
      <pivotArea field="2" type="button" dataOnly="0" labelOnly="1" outline="0" axis="axisRow" fieldPosition="0"/>
    </format>
    <format dxfId="48">
      <pivotArea dataOnly="0" labelOnly="1" outline="0" fieldPosition="0">
        <references count="1">
          <reference field="2" count="0"/>
        </references>
      </pivotArea>
    </format>
    <format dxfId="47">
      <pivotArea field="2" type="button" dataOnly="0" labelOnly="1" outline="0" axis="axisRow" fieldPosition="0"/>
    </format>
    <format dxfId="46">
      <pivotArea dataOnly="0" labelOnly="1" outline="0" fieldPosition="0">
        <references count="1">
          <reference field="2" count="0"/>
        </references>
      </pivotArea>
    </format>
    <format dxfId="45">
      <pivotArea field="2" type="button" dataOnly="0" labelOnly="1" outline="0" axis="axisRow" fieldPosition="0"/>
    </format>
    <format dxfId="44">
      <pivotArea dataOnly="0" labelOnly="1" outline="0" fieldPosition="0">
        <references count="1">
          <reference field="2" count="0"/>
        </references>
      </pivotArea>
    </format>
    <format dxfId="43">
      <pivotArea field="2" type="button" dataOnly="0" labelOnly="1" outline="0" axis="axisRow" fieldPosition="0"/>
    </format>
    <format dxfId="42">
      <pivotArea dataOnly="0" labelOnly="1" outline="0" fieldPosition="0">
        <references count="1">
          <reference field="2" count="0"/>
        </references>
      </pivotArea>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condition &quot;Type&quot; added"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872FDB9-50D9-409D-82DC-F25E6C870EBD}" name="PivotTable11" cacheId="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4">
    <format dxfId="34">
      <pivotArea outline="0" collapsedLevelsAreSubtotals="1" fieldPosition="0"/>
    </format>
    <format dxfId="33">
      <pivotArea field="1" type="button" dataOnly="0" labelOnly="1" outline="0" axis="axisRow" fieldPosition="0"/>
    </format>
    <format dxfId="32">
      <pivotArea dataOnly="0" labelOnly="1" outline="0" fieldPosition="0">
        <references count="1">
          <reference field="1" count="0"/>
        </references>
      </pivotArea>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field conditions that breaks down the value field"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E7EBC97-46DD-4556-AAC2-68376D6E1C6B}" name="PivotTable12"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24">
      <pivotArea outline="0" collapsedLevelsAreSubtotals="1" fieldPosition="0"/>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B014E60-12BD-447C-98A2-D079FE007031}" name="PivotTable15"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5"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that sums up the Amount field"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27C85D0-16CE-4BA7-8C54-8C3EDFE3A65B}" name="PivotTable16"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5"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Sum of Amount field"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F8435FC-569F-4959-945E-A9CC5E7F28C2}" name="PivotTable17"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2:E16" firstHeaderRow="1" firstDataRow="1" firstDataCol="1"/>
  <pivotFields count="4">
    <pivotField numFmtId="165" subtotalTop="0" showAll="0"/>
    <pivotField axis="axisRow" subtotalTop="0" showAll="0">
      <items count="4">
        <item x="1"/>
        <item x="2"/>
        <item x="0"/>
        <item t="default"/>
      </items>
    </pivotField>
    <pivotField subtotalTop="0" showAll="0"/>
    <pivotField dataField="1" numFmtId="5" subtotalTop="0" showAll="0"/>
  </pivotFields>
  <rowFields count="1">
    <field x="1"/>
  </rowFields>
  <rowItems count="4">
    <i>
      <x/>
    </i>
    <i>
      <x v="1"/>
    </i>
    <i>
      <x v="2"/>
    </i>
    <i t="grand">
      <x/>
    </i>
  </rowItems>
  <colItems count="1">
    <i/>
  </colItems>
  <dataFields count="1">
    <dataField name="Sum of Amount" fld="3" baseField="0" baseItem="0" numFmtId="5"/>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Labels and Sum of Amount fields"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E4C0121-B514-40E8-AB18-30BEF785F8C1}" name="PivotTable Area" cacheId="1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4:J31" firstHeaderRow="1" firstDataRow="1" firstDataCol="0"/>
  <pivotFields count="5">
    <pivotField compact="0" numFmtId="16" outline="0"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ubtotalTop="0" showAll="0">
      <items count="4">
        <item x="1"/>
        <item x="2"/>
        <item x="0"/>
        <item t="default"/>
      </items>
    </pivotField>
    <pivotField compact="0" outline="0" subtotalTop="0" showAll="0"/>
    <pivotField compact="0" numFmtId="44" outline="0" subtotalTop="0" showAll="0"/>
    <pivotField compact="0" outline="0" showAll="0">
      <items count="15">
        <item sd="0" x="0"/>
        <item sd="0" x="1"/>
        <item sd="0" x="2"/>
        <item sd="0" x="3"/>
        <item sd="0" x="4"/>
        <item sd="0" x="5"/>
        <item sd="0" x="6"/>
        <item sd="0" x="7"/>
        <item sd="0" x="8"/>
        <item sd="0" x="9"/>
        <item sd="0" x="10"/>
        <item sd="0" x="11"/>
        <item sd="0" x="12"/>
        <item sd="0" x="13"/>
        <item t="default"/>
      </items>
    </pivotField>
  </pivot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Buyer and Sum of Amount fields"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77A6B6-515A-44CA-9B74-AC5F0CC2C2DF}" name="Expenses1" displayName="Expenses1" ref="B10:E17" totalsRowShown="0" headerRowDxfId="123" tableBorderDxfId="122">
  <autoFilter ref="B10:E17" xr:uid="{00000000-0009-0000-0100-000001000000}">
    <filterColumn colId="0" hiddenButton="1"/>
    <filterColumn colId="1" hiddenButton="1"/>
    <filterColumn colId="2" hiddenButton="1"/>
    <filterColumn colId="3" hiddenButton="1"/>
  </autoFilter>
  <tableColumns count="4">
    <tableColumn id="1" xr3:uid="{00000000-0010-0000-0000-000001000000}" name="Date" dataDxfId="121" dataCellStyle="Date"/>
    <tableColumn id="2" xr3:uid="{00000000-0010-0000-0000-000002000000}" name="Buyer" dataDxfId="120"/>
    <tableColumn id="3" xr3:uid="{00000000-0010-0000-0000-000003000000}" name="Type" dataDxfId="119"/>
    <tableColumn id="4" xr3:uid="{00000000-0010-0000-0000-000004000000}" name="Amount" dataDxfId="118"/>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E00AA7-149E-41DF-8A43-1FA709A2EDA7}" name="Expenses2" displayName="Expenses2" ref="B10:E17" totalsRowShown="0" headerRowDxfId="116" tableBorderDxfId="115">
  <autoFilter ref="B10:E17" xr:uid="{00000000-0009-0000-0100-000002000000}">
    <filterColumn colId="0" hiddenButton="1"/>
    <filterColumn colId="1" hiddenButton="1"/>
    <filterColumn colId="2" hiddenButton="1"/>
    <filterColumn colId="3" hiddenButton="1"/>
  </autoFilter>
  <tableColumns count="4">
    <tableColumn id="1" xr3:uid="{00000000-0010-0000-0100-000001000000}" name="Date" dataDxfId="114" dataCellStyle="Date"/>
    <tableColumn id="2" xr3:uid="{00000000-0010-0000-0100-000002000000}" name="Buyer" dataDxfId="113"/>
    <tableColumn id="3" xr3:uid="{00000000-0010-0000-0100-000003000000}" name="Type" dataDxfId="112"/>
    <tableColumn id="4" xr3:uid="{00000000-0010-0000-0100-000004000000}" name="Amount" dataDxfId="111"/>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6EA19AD-7836-49A7-B6C5-6A762586F74E}" name="Expenses3" displayName="Expenses3" ref="B10:E17" totalsRowShown="0" headerRowDxfId="109" tableBorderDxfId="108">
  <autoFilter ref="B10:E17" xr:uid="{00000000-0009-0000-0100-000003000000}">
    <filterColumn colId="0" hiddenButton="1"/>
    <filterColumn colId="1" hiddenButton="1"/>
    <filterColumn colId="2" hiddenButton="1"/>
    <filterColumn colId="3" hiddenButton="1"/>
  </autoFilter>
  <tableColumns count="4">
    <tableColumn id="1" xr3:uid="{00000000-0010-0000-0200-000001000000}" name="Date" dataDxfId="107" dataCellStyle="Date"/>
    <tableColumn id="2" xr3:uid="{00000000-0010-0000-0200-000002000000}" name="Buyer" dataDxfId="106"/>
    <tableColumn id="3" xr3:uid="{00000000-0010-0000-0200-000003000000}" name="Type" dataDxfId="105"/>
    <tableColumn id="4" xr3:uid="{00000000-0010-0000-0200-000004000000}" name="Amount" dataDxfId="104"/>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AE997DE-B8AB-4324-84BF-47EC4D23D9B6}" name="Expenses4" displayName="Expenses4" ref="B10:E17" totalsRowShown="0" headerRowDxfId="103" tableBorderDxfId="102">
  <autoFilter ref="B10:E17" xr:uid="{00000000-0009-0000-0100-000004000000}">
    <filterColumn colId="0" hiddenButton="1"/>
    <filterColumn colId="1" hiddenButton="1"/>
    <filterColumn colId="2" hiddenButton="1"/>
    <filterColumn colId="3" hiddenButton="1"/>
  </autoFilter>
  <tableColumns count="4">
    <tableColumn id="1" xr3:uid="{00000000-0010-0000-0300-000001000000}" name="Date" dataDxfId="101" dataCellStyle="Date"/>
    <tableColumn id="2" xr3:uid="{00000000-0010-0000-0300-000002000000}" name="Buyer" dataDxfId="100"/>
    <tableColumn id="3" xr3:uid="{00000000-0010-0000-0300-000003000000}" name="Type" dataDxfId="99"/>
    <tableColumn id="4" xr3:uid="{00000000-0010-0000-0300-000004000000}" name="Amount" dataDxfId="98"/>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D48B9B-55AB-48D6-AEDA-2CA5363AF2BD}" name="Expenses5" displayName="Expenses5" ref="B10:E17" totalsRowShown="0" headerRowDxfId="97" tableBorderDxfId="96">
  <autoFilter ref="B10:E17" xr:uid="{00000000-0009-0000-0100-000005000000}">
    <filterColumn colId="0" hiddenButton="1"/>
    <filterColumn colId="1" hiddenButton="1"/>
    <filterColumn colId="2" hiddenButton="1"/>
    <filterColumn colId="3" hiddenButton="1"/>
  </autoFilter>
  <tableColumns count="4">
    <tableColumn id="1" xr3:uid="{00000000-0010-0000-0400-000001000000}" name="Date" dataDxfId="95" dataCellStyle="Date"/>
    <tableColumn id="2" xr3:uid="{00000000-0010-0000-0400-000002000000}" name="Buyer" dataDxfId="94"/>
    <tableColumn id="3" xr3:uid="{00000000-0010-0000-0400-000003000000}" name="Type" dataDxfId="93"/>
    <tableColumn id="4" xr3:uid="{00000000-0010-0000-0400-000004000000}" name="Amount" dataDxfId="9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702BFF5-2A10-4DB4-97E1-8BB994D1546D}" name="Expenses6" displayName="Expenses6" ref="B10:E17" totalsRowShown="0" headerRowDxfId="91" tableBorderDxfId="90">
  <autoFilter ref="B10:E17" xr:uid="{00000000-0009-0000-0100-000006000000}">
    <filterColumn colId="0" hiddenButton="1"/>
    <filterColumn colId="1" hiddenButton="1"/>
    <filterColumn colId="2" hiddenButton="1"/>
    <filterColumn colId="3" hiddenButton="1"/>
  </autoFilter>
  <tableColumns count="4">
    <tableColumn id="1" xr3:uid="{00000000-0010-0000-0500-000001000000}" name="Date" dataDxfId="89" dataCellStyle="Date"/>
    <tableColumn id="2" xr3:uid="{00000000-0010-0000-0500-000002000000}" name="Buyer" dataDxfId="88"/>
    <tableColumn id="3" xr3:uid="{00000000-0010-0000-0500-000003000000}" name="Type" dataDxfId="87"/>
    <tableColumn id="4" xr3:uid="{00000000-0010-0000-0500-000004000000}" name="Amount" dataDxfId="86"/>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49DC4C-A1DA-448C-921D-30E99532A7BD}" name="Expenses7" displayName="Expenses7" ref="B10:E17" totalsRowShown="0" headerRowDxfId="83" tableBorderDxfId="82">
  <autoFilter ref="B10:E17" xr:uid="{00000000-0009-0000-0100-000007000000}">
    <filterColumn colId="0" hiddenButton="1"/>
    <filterColumn colId="1" hiddenButton="1"/>
    <filterColumn colId="2" hiddenButton="1"/>
    <filterColumn colId="3" hiddenButton="1"/>
  </autoFilter>
  <tableColumns count="4">
    <tableColumn id="1" xr3:uid="{00000000-0010-0000-0600-000001000000}" name="Date" dataDxfId="81"/>
    <tableColumn id="2" xr3:uid="{00000000-0010-0000-0600-000002000000}" name="Buyer" dataDxfId="80"/>
    <tableColumn id="3" xr3:uid="{00000000-0010-0000-0600-000003000000}" name="Type" dataDxfId="79"/>
    <tableColumn id="4" xr3:uid="{00000000-0010-0000-0600-000004000000}" name="Amount" dataDxfId="78"/>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AE22EB9-2316-4370-9E10-83DA75C79282}" name="Expenses8" displayName="Expenses8" ref="B11:E18" totalsRowShown="0" headerRowDxfId="76" tableBorderDxfId="75">
  <autoFilter ref="B11:E18" xr:uid="{00000000-0009-0000-0100-000008000000}">
    <filterColumn colId="0" hiddenButton="1"/>
    <filterColumn colId="1" hiddenButton="1"/>
    <filterColumn colId="2" hiddenButton="1"/>
    <filterColumn colId="3" hiddenButton="1"/>
  </autoFilter>
  <tableColumns count="4">
    <tableColumn id="1" xr3:uid="{00000000-0010-0000-0700-000001000000}" name="Date" dataDxfId="74" dataCellStyle="Date"/>
    <tableColumn id="2" xr3:uid="{00000000-0010-0000-0700-000002000000}" name="Buyer" dataDxfId="73"/>
    <tableColumn id="3" xr3:uid="{00000000-0010-0000-0700-000003000000}" name="Type" dataDxfId="72"/>
    <tableColumn id="4" xr3:uid="{00000000-0010-0000-0700-000004000000}" name="Amount" dataDxfId="71"/>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A89DD68-DEC3-4F92-B3BD-7002107937D9}" name="Expenses9" displayName="Expenses9" ref="B11:E18" totalsRowShown="0" headerRowDxfId="57" tableBorderDxfId="56">
  <autoFilter ref="B11:E18" xr:uid="{00000000-0009-0000-0100-000009000000}">
    <filterColumn colId="0" hiddenButton="1"/>
    <filterColumn colId="1" hiddenButton="1"/>
    <filterColumn colId="2" hiddenButton="1"/>
    <filterColumn colId="3" hiddenButton="1"/>
  </autoFilter>
  <tableColumns count="4">
    <tableColumn id="1" xr3:uid="{00000000-0010-0000-0800-000001000000}" name="Date" dataDxfId="55" dataCellStyle="Date"/>
    <tableColumn id="2" xr3:uid="{00000000-0010-0000-0800-000002000000}" name="Buyer" dataDxfId="54"/>
    <tableColumn id="3" xr3:uid="{00000000-0010-0000-0800-000003000000}" name="Type" dataDxfId="53"/>
    <tableColumn id="4" xr3:uid="{00000000-0010-0000-0800-000004000000}" name="Amount" dataDxfId="52"/>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3B0D9CD-5C49-4509-94E6-01451E89B6CD}" name="Expenses10" displayName="Expenses10" ref="B10:E17" totalsRowShown="0" headerRowDxfId="40" tableBorderDxfId="39">
  <autoFilter ref="B10:E17" xr:uid="{00000000-0009-0000-0100-00000A000000}">
    <filterColumn colId="0" hiddenButton="1"/>
    <filterColumn colId="1" hiddenButton="1"/>
    <filterColumn colId="2" hiddenButton="1"/>
    <filterColumn colId="3" hiddenButton="1"/>
  </autoFilter>
  <tableColumns count="4">
    <tableColumn id="1" xr3:uid="{00000000-0010-0000-0900-000001000000}" name="Date" dataDxfId="38"/>
    <tableColumn id="2" xr3:uid="{00000000-0010-0000-0900-000002000000}" name="Buyer" dataDxfId="37"/>
    <tableColumn id="3" xr3:uid="{00000000-0010-0000-0900-000003000000}" name="Type" dataDxfId="36"/>
    <tableColumn id="4" xr3:uid="{00000000-0010-0000-0900-000004000000}" name="Amount" dataDxfId="3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8350A97-C9B1-41FB-9947-8720D1A956E5}" name="Expenses11" displayName="Expenses11" ref="B10:E17" totalsRowShown="0" headerRowDxfId="30" tableBorderDxfId="29">
  <autoFilter ref="B10:E17" xr:uid="{00000000-0009-0000-0100-00000B000000}">
    <filterColumn colId="0" hiddenButton="1"/>
    <filterColumn colId="1" hiddenButton="1"/>
    <filterColumn colId="2" hiddenButton="1"/>
    <filterColumn colId="3" hiddenButton="1"/>
  </autoFilter>
  <tableColumns count="4">
    <tableColumn id="1" xr3:uid="{00000000-0010-0000-0A00-000001000000}" name="Date" dataDxfId="28" dataCellStyle="Date"/>
    <tableColumn id="2" xr3:uid="{00000000-0010-0000-0A00-000002000000}" name="Buyer" dataDxfId="27"/>
    <tableColumn id="3" xr3:uid="{00000000-0010-0000-0A00-000003000000}" name="Type" dataDxfId="26"/>
    <tableColumn id="4" xr3:uid="{00000000-0010-0000-0A00-000004000000}" name="Amount" dataDxfId="2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C327A74-9128-4983-8D8E-AC9922DBD69E}" name="Expenses12" displayName="Expenses12" ref="B10:E17" totalsRowShown="0" headerRowDxfId="22" tableBorderDxfId="21">
  <autoFilter ref="B10:E17" xr:uid="{00000000-0009-0000-0100-00000C000000}">
    <filterColumn colId="0" hiddenButton="1"/>
    <filterColumn colId="1" hiddenButton="1"/>
    <filterColumn colId="2" hiddenButton="1"/>
    <filterColumn colId="3" hiddenButton="1"/>
  </autoFilter>
  <tableColumns count="4">
    <tableColumn id="1" xr3:uid="{00000000-0010-0000-0B00-000001000000}" name="Date" dataDxfId="20" dataCellStyle="Date"/>
    <tableColumn id="2" xr3:uid="{00000000-0010-0000-0B00-000002000000}" name="Buyer" dataDxfId="19"/>
    <tableColumn id="3" xr3:uid="{00000000-0010-0000-0B00-000003000000}" name="Type" dataDxfId="18"/>
    <tableColumn id="4" xr3:uid="{00000000-0010-0000-0B00-000004000000}" name="Amount" dataDxfId="17"/>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4B81AD8-8161-4873-9C97-397847F62FEA}" name="Expenses13" displayName="Expenses13" ref="C14:F21" totalsRowShown="0" headerRowDxfId="16" tableBorderDxfId="15">
  <autoFilter ref="C14:F21" xr:uid="{00000000-0009-0000-0100-00000D000000}">
    <filterColumn colId="0" hiddenButton="1"/>
    <filterColumn colId="1" hiddenButton="1"/>
    <filterColumn colId="2" hiddenButton="1"/>
    <filterColumn colId="3" hiddenButton="1"/>
  </autoFilter>
  <tableColumns count="4">
    <tableColumn id="1" xr3:uid="{00000000-0010-0000-0C00-000001000000}" name="Date" dataDxfId="14" dataCellStyle="Date"/>
    <tableColumn id="2" xr3:uid="{00000000-0010-0000-0C00-000002000000}" name="Buyer" dataDxfId="13"/>
    <tableColumn id="3" xr3:uid="{00000000-0010-0000-0C00-000003000000}" name="Type" dataDxfId="12"/>
    <tableColumn id="4" xr3:uid="{00000000-0010-0000-0C00-000004000000}" name="Amount" dataDxfId="11"/>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D2ACEA-E056-49FD-9062-9C356032FC4D}" name="Expenses18" displayName="Expenses18" ref="B14:E21" totalsRowShown="0" headerRowDxfId="5" tableBorderDxfId="4">
  <autoFilter ref="B14:E21" xr:uid="{00000000-0009-0000-0100-00000E000000}">
    <filterColumn colId="0" hiddenButton="1"/>
    <filterColumn colId="1" hiddenButton="1"/>
    <filterColumn colId="2" hiddenButton="1"/>
    <filterColumn colId="3" hiddenButton="1"/>
  </autoFilter>
  <tableColumns count="4">
    <tableColumn id="1" xr3:uid="{00000000-0010-0000-0D00-000001000000}" name="Date" dataDxfId="3" dataCellStyle="Date"/>
    <tableColumn id="2" xr3:uid="{00000000-0010-0000-0D00-000002000000}" name="Buyer" dataDxfId="2"/>
    <tableColumn id="3" xr3:uid="{00000000-0010-0000-0D00-000003000000}" name="Type" dataDxfId="1"/>
    <tableColumn id="4" xr3:uid="{00000000-0010-0000-0D00-000004000000}" name="Amount" dataDxfId="0"/>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espn.com/nba/standings/_/sort/streak/group/league" TargetMode="External"/><Relationship Id="rId3" Type="http://schemas.openxmlformats.org/officeDocument/2006/relationships/hyperlink" Target="http://www.espn.com/nba/standings/_/dir/asc/group/league" TargetMode="External"/><Relationship Id="rId7" Type="http://schemas.openxmlformats.org/officeDocument/2006/relationships/hyperlink" Target="http://www.espn.com/nba/standings/_/sort/differential/group/league" TargetMode="External"/><Relationship Id="rId2" Type="http://schemas.openxmlformats.org/officeDocument/2006/relationships/hyperlink" Target="http://www.espn.com/nba/standings/_/sort/losses/group/league" TargetMode="External"/><Relationship Id="rId1" Type="http://schemas.openxmlformats.org/officeDocument/2006/relationships/hyperlink" Target="http://www.espn.com/nba/standings/_/sort/wins/group/league" TargetMode="External"/><Relationship Id="rId6" Type="http://schemas.openxmlformats.org/officeDocument/2006/relationships/hyperlink" Target="http://www.espn.com/nba/standings/_/sort/avgpointsagainst/group/league" TargetMode="External"/><Relationship Id="rId5" Type="http://schemas.openxmlformats.org/officeDocument/2006/relationships/hyperlink" Target="http://www.espn.com/nba/standings/_/sort/avgpointsfor/group/league" TargetMode="External"/><Relationship Id="rId4" Type="http://schemas.openxmlformats.org/officeDocument/2006/relationships/hyperlink" Target="http://www.espn.com/nba/standings/_/sort/gamesbehind/group/league"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go.microsoft.com/fwlink/?LinkId=856930" TargetMode="Externa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go.microsoft.com/fwlink/?LinkId=856933" TargetMode="Externa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go.microsoft.com/fwlink/?LinkId=856937" TargetMode="Externa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go.microsoft.com/fwlink/?LinkId=856941" TargetMode="External"/><Relationship Id="rId4"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go.microsoft.com/fwlink/?LinkId=856945" TargetMode="External"/><Relationship Id="rId4"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go.microsoft.com/fwlink/?LinkId=856948" TargetMode="External"/><Relationship Id="rId4"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go.microsoft.com/fwlink/?LinkId=856951" TargetMode="External"/><Relationship Id="rId1" Type="http://schemas.openxmlformats.org/officeDocument/2006/relationships/pivotTable" Target="../pivotTables/pivotTable4.xml"/><Relationship Id="rId5" Type="http://schemas.openxmlformats.org/officeDocument/2006/relationships/table" Target="../tables/table7.xml"/><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go.microsoft.com/fwlink/?LinkId=856927" TargetMode="External"/><Relationship Id="rId1" Type="http://schemas.openxmlformats.org/officeDocument/2006/relationships/pivotTable" Target="../pivotTables/pivotTable5.xml"/><Relationship Id="rId5" Type="http://schemas.openxmlformats.org/officeDocument/2006/relationships/table" Target="../tables/table8.xml"/><Relationship Id="rId4"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go.microsoft.com/fwlink/?LinkId=856932" TargetMode="External"/><Relationship Id="rId1" Type="http://schemas.openxmlformats.org/officeDocument/2006/relationships/pivotTable" Target="../pivotTables/pivotTable6.xml"/><Relationship Id="rId5" Type="http://schemas.openxmlformats.org/officeDocument/2006/relationships/table" Target="../tables/table9.xml"/><Relationship Id="rId4"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go.microsoft.com/fwlink/?LinkId=856936" TargetMode="External"/><Relationship Id="rId1" Type="http://schemas.openxmlformats.org/officeDocument/2006/relationships/pivotTable" Target="../pivotTables/pivotTable7.xml"/><Relationship Id="rId5" Type="http://schemas.openxmlformats.org/officeDocument/2006/relationships/table" Target="../tables/table10.xml"/><Relationship Id="rId4"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go.microsoft.com/fwlink/?LinkId=856940" TargetMode="External"/><Relationship Id="rId1" Type="http://schemas.openxmlformats.org/officeDocument/2006/relationships/pivotTable" Target="../pivotTables/pivotTable8.xml"/><Relationship Id="rId5" Type="http://schemas.openxmlformats.org/officeDocument/2006/relationships/table" Target="../tables/table11.xml"/><Relationship Id="rId4"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go.microsoft.com/fwlink/?LinkId=856944" TargetMode="External"/><Relationship Id="rId1" Type="http://schemas.openxmlformats.org/officeDocument/2006/relationships/pivotTable" Target="../pivotTables/pivotTable9.xml"/><Relationship Id="rId5" Type="http://schemas.openxmlformats.org/officeDocument/2006/relationships/table" Target="../tables/table12.xml"/><Relationship Id="rId4"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go.microsoft.com/fwlink/?LinkId=856949" TargetMode="External"/><Relationship Id="rId4" Type="http://schemas.openxmlformats.org/officeDocument/2006/relationships/table" Target="../tables/table13.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go.microsoft.com/fwlink/?LinkId=856928" TargetMode="Externa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go.microsoft.com/fwlink/?LinkId=856931" TargetMode="External"/><Relationship Id="rId1" Type="http://schemas.openxmlformats.org/officeDocument/2006/relationships/pivotTable" Target="../pivotTables/pivotTable10.xml"/><Relationship Id="rId4" Type="http://schemas.openxmlformats.org/officeDocument/2006/relationships/drawing" Target="../drawings/drawing18.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go.microsoft.com/fwlink/?LinkId=856935" TargetMode="External"/><Relationship Id="rId1" Type="http://schemas.openxmlformats.org/officeDocument/2006/relationships/pivotTable" Target="../pivotTables/pivotTable11.xml"/><Relationship Id="rId4" Type="http://schemas.openxmlformats.org/officeDocument/2006/relationships/drawing" Target="../drawings/drawing19.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http://go.microsoft.com/fwlink/?LinkId=856939" TargetMode="External"/><Relationship Id="rId1" Type="http://schemas.openxmlformats.org/officeDocument/2006/relationships/pivotTable" Target="../pivotTables/pivotTable12.xml"/><Relationship Id="rId4" Type="http://schemas.openxmlformats.org/officeDocument/2006/relationships/drawing" Target="../drawings/drawing20.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hyperlink" Target="http://go.microsoft.com/fwlink/?LinkId=856943" TargetMode="External"/><Relationship Id="rId1" Type="http://schemas.openxmlformats.org/officeDocument/2006/relationships/pivotTable" Target="../pivotTables/pivotTable13.xml"/><Relationship Id="rId5" Type="http://schemas.openxmlformats.org/officeDocument/2006/relationships/table" Target="../tables/table14.xml"/><Relationship Id="rId4" Type="http://schemas.openxmlformats.org/officeDocument/2006/relationships/drawing" Target="../drawings/drawing21.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2.bin"/><Relationship Id="rId1" Type="http://schemas.openxmlformats.org/officeDocument/2006/relationships/hyperlink" Target="http://go.microsoft.com/fwlink/?LinkId=856947" TargetMode="Externa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3.bin"/><Relationship Id="rId1" Type="http://schemas.openxmlformats.org/officeDocument/2006/relationships/hyperlink" Target="http://go.microsoft.com/fwlink/?LinkId=856929"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go.microsoft.com/fwlink/?LinkId=856950" TargetMode="External"/><Relationship Id="rId7" Type="http://schemas.openxmlformats.org/officeDocument/2006/relationships/drawing" Target="../drawings/drawing24.xml"/><Relationship Id="rId2" Type="http://schemas.openxmlformats.org/officeDocument/2006/relationships/hyperlink" Target="http://go.microsoft.com/fwlink/?LinkId=856946" TargetMode="External"/><Relationship Id="rId1" Type="http://schemas.openxmlformats.org/officeDocument/2006/relationships/hyperlink" Target="http://go.microsoft.com/fwlink/?LinkId=856938" TargetMode="External"/><Relationship Id="rId6" Type="http://schemas.openxmlformats.org/officeDocument/2006/relationships/printerSettings" Target="../printerSettings/printerSettings24.bin"/><Relationship Id="rId5" Type="http://schemas.openxmlformats.org/officeDocument/2006/relationships/hyperlink" Target="http://go.microsoft.com/fwlink/?LinkId=856942" TargetMode="External"/><Relationship Id="rId4" Type="http://schemas.openxmlformats.org/officeDocument/2006/relationships/hyperlink" Target="http://go.microsoft.com/fwlink/?LinkId=856934" TargetMode="Externa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A1:M22"/>
  <sheetViews>
    <sheetView workbookViewId="0">
      <selection activeCell="I9" sqref="I9"/>
    </sheetView>
  </sheetViews>
  <sheetFormatPr defaultRowHeight="14.5"/>
  <cols>
    <col min="6" max="6" width="9.26953125" customWidth="1"/>
    <col min="9" max="9" width="17" customWidth="1"/>
    <col min="10" max="10" width="12.7265625" customWidth="1"/>
  </cols>
  <sheetData>
    <row r="1" spans="1:13">
      <c r="A1" s="15"/>
      <c r="B1" s="15"/>
      <c r="C1" s="15"/>
      <c r="D1" s="15"/>
      <c r="E1" s="15"/>
      <c r="F1" s="15"/>
      <c r="I1" s="15"/>
      <c r="J1" s="15"/>
      <c r="K1" s="15"/>
      <c r="L1" s="15"/>
      <c r="M1" s="15"/>
    </row>
    <row r="2" spans="1:13">
      <c r="A2" s="15"/>
      <c r="B2" s="15"/>
      <c r="C2" s="15"/>
      <c r="D2" s="15"/>
      <c r="E2" s="15"/>
      <c r="F2" s="15"/>
      <c r="I2" s="15"/>
      <c r="J2" s="15"/>
      <c r="K2" s="15"/>
      <c r="L2" s="15"/>
      <c r="M2" s="15"/>
    </row>
    <row r="3" spans="1:13">
      <c r="A3" s="15"/>
      <c r="B3" s="15"/>
      <c r="C3" s="15"/>
      <c r="D3" s="15"/>
      <c r="E3" s="15"/>
      <c r="F3" s="15"/>
      <c r="I3" s="15"/>
      <c r="J3" s="15"/>
      <c r="K3" s="15"/>
      <c r="L3" s="15"/>
      <c r="M3" s="15"/>
    </row>
    <row r="4" spans="1:13">
      <c r="A4" s="15"/>
      <c r="B4" s="15" t="s">
        <v>127</v>
      </c>
      <c r="C4" s="15"/>
      <c r="D4" s="15"/>
      <c r="E4" s="15"/>
      <c r="F4" s="15"/>
      <c r="I4" s="15"/>
      <c r="J4" s="15"/>
      <c r="K4" s="15"/>
      <c r="L4" s="15"/>
      <c r="M4" s="15"/>
    </row>
    <row r="5" spans="1:13">
      <c r="A5" s="15"/>
      <c r="B5" s="15"/>
      <c r="C5" s="15"/>
      <c r="D5" s="15"/>
      <c r="E5" s="15"/>
      <c r="F5" s="15"/>
      <c r="I5" s="15"/>
      <c r="J5" s="15"/>
      <c r="K5" s="15"/>
      <c r="L5" s="15"/>
      <c r="M5" s="15"/>
    </row>
    <row r="6" spans="1:13">
      <c r="A6" s="15"/>
      <c r="B6" s="15" t="s">
        <v>128</v>
      </c>
      <c r="C6" s="15"/>
      <c r="D6" s="15"/>
      <c r="E6" s="15"/>
      <c r="F6" s="15"/>
      <c r="I6" s="15"/>
      <c r="J6" s="15"/>
      <c r="K6" s="15"/>
      <c r="L6" s="15"/>
      <c r="M6" s="15"/>
    </row>
    <row r="7" spans="1:13">
      <c r="A7" s="15"/>
      <c r="B7" s="15"/>
      <c r="C7" s="15"/>
      <c r="D7" s="15"/>
      <c r="E7" s="15"/>
      <c r="F7" s="15"/>
      <c r="I7" s="15"/>
      <c r="J7" s="15" t="s">
        <v>129</v>
      </c>
      <c r="K7" s="15"/>
      <c r="L7" s="15"/>
      <c r="M7" s="15"/>
    </row>
    <row r="8" spans="1:13">
      <c r="A8" s="15"/>
      <c r="B8" s="15"/>
      <c r="C8" s="15"/>
      <c r="D8" s="15"/>
      <c r="E8" s="15"/>
      <c r="F8" s="15"/>
      <c r="I8" s="15"/>
      <c r="J8" s="15"/>
      <c r="K8" s="15"/>
      <c r="L8" s="15"/>
      <c r="M8" s="15"/>
    </row>
    <row r="9" spans="1:13">
      <c r="A9" s="15"/>
      <c r="B9" s="15"/>
      <c r="C9" s="15"/>
      <c r="D9" s="15"/>
      <c r="E9" s="15"/>
      <c r="F9" s="15"/>
      <c r="I9" s="15"/>
      <c r="J9" s="15"/>
      <c r="K9" s="15"/>
      <c r="L9" s="15"/>
      <c r="M9" s="15"/>
    </row>
    <row r="10" spans="1:13">
      <c r="A10" s="15"/>
      <c r="B10" s="15"/>
      <c r="C10" s="15"/>
      <c r="D10" s="15"/>
      <c r="E10" s="15"/>
      <c r="F10" s="15"/>
      <c r="I10" s="16"/>
      <c r="J10" s="15"/>
      <c r="K10" s="15"/>
      <c r="L10" s="15"/>
      <c r="M10" s="15"/>
    </row>
    <row r="11" spans="1:13">
      <c r="A11" s="15"/>
      <c r="B11" s="15"/>
      <c r="C11" s="15"/>
      <c r="D11" s="15"/>
      <c r="E11" s="15"/>
      <c r="F11" s="15"/>
      <c r="I11" s="15"/>
      <c r="J11" s="15"/>
      <c r="K11" s="15"/>
      <c r="L11" s="15"/>
      <c r="M11" s="15"/>
    </row>
    <row r="13" spans="1:13">
      <c r="A13" s="15"/>
      <c r="B13" s="15"/>
      <c r="C13" s="15"/>
      <c r="D13" s="15"/>
      <c r="E13" s="15"/>
      <c r="F13" s="15"/>
      <c r="I13" s="15"/>
      <c r="J13" s="15"/>
      <c r="K13" s="15"/>
      <c r="L13" s="15"/>
      <c r="M13" s="15"/>
    </row>
    <row r="14" spans="1:13">
      <c r="A14" s="15"/>
      <c r="B14" s="15"/>
      <c r="C14" s="15"/>
      <c r="D14" s="15"/>
      <c r="E14" s="15"/>
      <c r="F14" s="15"/>
      <c r="I14" s="15"/>
      <c r="J14" s="15" t="s">
        <v>135</v>
      </c>
      <c r="K14" s="15"/>
      <c r="L14" s="15"/>
      <c r="M14" s="15"/>
    </row>
    <row r="15" spans="1:13">
      <c r="A15" s="15"/>
      <c r="B15" s="15"/>
      <c r="C15" s="15"/>
      <c r="D15" s="15"/>
      <c r="E15" s="15"/>
      <c r="F15" s="15"/>
      <c r="I15" s="15"/>
      <c r="J15" s="15"/>
      <c r="K15" s="15"/>
      <c r="L15" s="15"/>
      <c r="M15" s="15"/>
    </row>
    <row r="16" spans="1:13">
      <c r="A16" s="15"/>
      <c r="B16" s="15"/>
      <c r="C16" s="15"/>
      <c r="D16" s="15"/>
      <c r="E16" s="15"/>
      <c r="F16" s="15"/>
      <c r="I16" s="15"/>
      <c r="J16" s="15"/>
      <c r="K16" s="15"/>
      <c r="L16" s="15"/>
      <c r="M16" s="15"/>
    </row>
    <row r="17" spans="1:13">
      <c r="A17" s="15"/>
      <c r="B17" s="15"/>
      <c r="C17" s="15"/>
      <c r="D17" s="15"/>
      <c r="E17" s="15"/>
      <c r="F17" s="15"/>
      <c r="I17" s="15"/>
      <c r="J17" s="15"/>
      <c r="K17" s="15"/>
      <c r="L17" s="15"/>
      <c r="M17" s="15"/>
    </row>
    <row r="18" spans="1:13">
      <c r="A18" s="15"/>
      <c r="B18" s="15"/>
      <c r="C18" s="15"/>
      <c r="D18" s="15"/>
      <c r="E18" s="15"/>
      <c r="F18" s="15"/>
      <c r="I18" s="15"/>
      <c r="J18" s="15" t="s">
        <v>136</v>
      </c>
      <c r="K18" s="15"/>
      <c r="L18" s="15"/>
      <c r="M18" s="15"/>
    </row>
    <row r="19" spans="1:13">
      <c r="A19" s="15"/>
      <c r="B19" s="15"/>
      <c r="C19" s="15"/>
      <c r="D19" s="15"/>
      <c r="E19" s="15"/>
      <c r="F19" s="15"/>
      <c r="I19" s="15"/>
      <c r="J19" s="15"/>
      <c r="K19" s="15"/>
      <c r="L19" s="15"/>
      <c r="M19" s="15"/>
    </row>
    <row r="20" spans="1:13">
      <c r="A20" s="15"/>
      <c r="B20" s="15"/>
      <c r="C20" s="15"/>
      <c r="D20" s="15"/>
      <c r="E20" s="15"/>
      <c r="F20" s="15"/>
      <c r="I20" s="15"/>
      <c r="J20" s="15"/>
      <c r="K20" s="15"/>
      <c r="L20" s="15"/>
      <c r="M20" s="15"/>
    </row>
    <row r="21" spans="1:13">
      <c r="A21" s="15"/>
      <c r="B21" s="15"/>
      <c r="C21" s="15"/>
      <c r="D21" s="15"/>
      <c r="E21" s="15"/>
      <c r="F21" s="15"/>
      <c r="I21" s="15"/>
      <c r="J21" s="15"/>
      <c r="K21" s="15"/>
      <c r="L21" s="15"/>
      <c r="M21" s="15"/>
    </row>
    <row r="22" spans="1:13">
      <c r="A22" s="15"/>
      <c r="B22" s="15"/>
      <c r="C22" s="15"/>
      <c r="D22" s="15"/>
      <c r="E22" s="15"/>
      <c r="F22" s="15"/>
      <c r="I22" s="15"/>
      <c r="J22" s="15"/>
      <c r="K22" s="15"/>
      <c r="L22" s="15"/>
      <c r="M22" s="15"/>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1516" r:id="rId4" name="btnClearScores">
          <controlPr defaultSize="0" autoLine="0" r:id="rId5">
            <anchor moveWithCells="1">
              <from>
                <xdr:col>1</xdr:col>
                <xdr:colOff>336550</xdr:colOff>
                <xdr:row>14</xdr:row>
                <xdr:rowOff>31750</xdr:rowOff>
              </from>
              <to>
                <xdr:col>4</xdr:col>
                <xdr:colOff>12700</xdr:colOff>
                <xdr:row>16</xdr:row>
                <xdr:rowOff>44450</xdr:rowOff>
              </to>
            </anchor>
          </controlPr>
        </control>
      </mc:Choice>
      <mc:Fallback>
        <control shapeId="21516" r:id="rId4" name="btnClearScores"/>
      </mc:Fallback>
    </mc:AlternateContent>
    <mc:AlternateContent xmlns:mc="http://schemas.openxmlformats.org/markup-compatibility/2006">
      <mc:Choice Requires="x14">
        <control shapeId="21507" r:id="rId6" name="btnUploadData">
          <controlPr defaultSize="0" autoLine="0" autoPict="0" r:id="rId7">
            <anchor moveWithCells="1">
              <from>
                <xdr:col>9</xdr:col>
                <xdr:colOff>31750</xdr:colOff>
                <xdr:row>1</xdr:row>
                <xdr:rowOff>133350</xdr:rowOff>
              </from>
              <to>
                <xdr:col>11</xdr:col>
                <xdr:colOff>165100</xdr:colOff>
                <xdr:row>3</xdr:row>
                <xdr:rowOff>107950</xdr:rowOff>
              </to>
            </anchor>
          </controlPr>
        </control>
      </mc:Choice>
      <mc:Fallback>
        <control shapeId="21507" r:id="rId6" name="btnUploadData"/>
      </mc:Fallback>
    </mc:AlternateContent>
    <mc:AlternateContent xmlns:mc="http://schemas.openxmlformats.org/markup-compatibility/2006">
      <mc:Choice Requires="x14">
        <control shapeId="21506" r:id="rId8" name="btnUpdateScores">
          <controlPr defaultSize="0" autoLine="0" autoPict="0" r:id="rId9">
            <anchor moveWithCells="1">
              <from>
                <xdr:col>9</xdr:col>
                <xdr:colOff>50800</xdr:colOff>
                <xdr:row>8</xdr:row>
                <xdr:rowOff>95250</xdr:rowOff>
              </from>
              <to>
                <xdr:col>11</xdr:col>
                <xdr:colOff>165100</xdr:colOff>
                <xdr:row>10</xdr:row>
                <xdr:rowOff>107950</xdr:rowOff>
              </to>
            </anchor>
          </controlPr>
        </control>
      </mc:Choice>
      <mc:Fallback>
        <control shapeId="21506" r:id="rId8" name="btnUpdateScores"/>
      </mc:Fallback>
    </mc:AlternateContent>
    <mc:AlternateContent xmlns:mc="http://schemas.openxmlformats.org/markup-compatibility/2006">
      <mc:Choice Requires="x14">
        <control shapeId="21508" r:id="rId10" name="btnClearHistory">
          <controlPr defaultSize="0" autoLine="0" r:id="rId11">
            <anchor moveWithCells="1">
              <from>
                <xdr:col>1</xdr:col>
                <xdr:colOff>323850</xdr:colOff>
                <xdr:row>18</xdr:row>
                <xdr:rowOff>50800</xdr:rowOff>
              </from>
              <to>
                <xdr:col>4</xdr:col>
                <xdr:colOff>0</xdr:colOff>
                <xdr:row>20</xdr:row>
                <xdr:rowOff>57150</xdr:rowOff>
              </to>
            </anchor>
          </controlPr>
        </control>
      </mc:Choice>
      <mc:Fallback>
        <control shapeId="21508" r:id="rId10" name="btnClearHistory"/>
      </mc:Fallback>
    </mc:AlternateContent>
    <mc:AlternateContent xmlns:mc="http://schemas.openxmlformats.org/markup-compatibility/2006">
      <mc:Choice Requires="x14">
        <control shapeId="21509" r:id="rId12" name="btnLast60Days">
          <controlPr defaultSize="0" autoLine="0" r:id="rId13">
            <anchor moveWithCells="1">
              <from>
                <xdr:col>0</xdr:col>
                <xdr:colOff>590550</xdr:colOff>
                <xdr:row>0</xdr:row>
                <xdr:rowOff>107950</xdr:rowOff>
              </from>
              <to>
                <xdr:col>4</xdr:col>
                <xdr:colOff>209550</xdr:colOff>
                <xdr:row>2</xdr:row>
                <xdr:rowOff>63500</xdr:rowOff>
              </to>
            </anchor>
          </controlPr>
        </control>
      </mc:Choice>
      <mc:Fallback>
        <control shapeId="21509" r:id="rId12" name="btnLast60Days"/>
      </mc:Fallback>
    </mc:AlternateContent>
    <mc:AlternateContent xmlns:mc="http://schemas.openxmlformats.org/markup-compatibility/2006">
      <mc:Choice Requires="x14">
        <control shapeId="21510" r:id="rId14" name="txtStartDate">
          <controlPr defaultSize="0" autoLine="0" r:id="rId15">
            <anchor moveWithCells="1">
              <from>
                <xdr:col>2</xdr:col>
                <xdr:colOff>152400</xdr:colOff>
                <xdr:row>2</xdr:row>
                <xdr:rowOff>171450</xdr:rowOff>
              </from>
              <to>
                <xdr:col>3</xdr:col>
                <xdr:colOff>292100</xdr:colOff>
                <xdr:row>4</xdr:row>
                <xdr:rowOff>57150</xdr:rowOff>
              </to>
            </anchor>
          </controlPr>
        </control>
      </mc:Choice>
      <mc:Fallback>
        <control shapeId="21510" r:id="rId14" name="txtStartDate"/>
      </mc:Fallback>
    </mc:AlternateContent>
    <mc:AlternateContent xmlns:mc="http://schemas.openxmlformats.org/markup-compatibility/2006">
      <mc:Choice Requires="x14">
        <control shapeId="21511" r:id="rId16" name="txtEndDate">
          <controlPr defaultSize="0" autoLine="0" r:id="rId17">
            <anchor moveWithCells="1">
              <from>
                <xdr:col>2</xdr:col>
                <xdr:colOff>146050</xdr:colOff>
                <xdr:row>5</xdr:row>
                <xdr:rowOff>0</xdr:rowOff>
              </from>
              <to>
                <xdr:col>3</xdr:col>
                <xdr:colOff>285750</xdr:colOff>
                <xdr:row>6</xdr:row>
                <xdr:rowOff>63500</xdr:rowOff>
              </to>
            </anchor>
          </controlPr>
        </control>
      </mc:Choice>
      <mc:Fallback>
        <control shapeId="21511" r:id="rId16" name="txtEndDate"/>
      </mc:Fallback>
    </mc:AlternateContent>
    <mc:AlternateContent xmlns:mc="http://schemas.openxmlformats.org/markup-compatibility/2006">
      <mc:Choice Requires="x14">
        <control shapeId="21515" r:id="rId18" name="txtDate">
          <controlPr defaultSize="0" autoLine="0" r:id="rId19">
            <anchor moveWithCells="1">
              <from>
                <xdr:col>9</xdr:col>
                <xdr:colOff>679450</xdr:colOff>
                <xdr:row>5</xdr:row>
                <xdr:rowOff>127000</xdr:rowOff>
              </from>
              <to>
                <xdr:col>11</xdr:col>
                <xdr:colOff>101600</xdr:colOff>
                <xdr:row>7</xdr:row>
                <xdr:rowOff>25400</xdr:rowOff>
              </to>
            </anchor>
          </controlPr>
        </control>
      </mc:Choice>
      <mc:Fallback>
        <control shapeId="21515" r:id="rId18" name="txtDate"/>
      </mc:Fallback>
    </mc:AlternateContent>
    <mc:AlternateContent xmlns:mc="http://schemas.openxmlformats.org/markup-compatibility/2006">
      <mc:Choice Requires="x14">
        <control shapeId="21517" r:id="rId20" name="btnHomeAwaySort">
          <controlPr defaultSize="0" autoLine="0" r:id="rId21">
            <anchor moveWithCells="1">
              <from>
                <xdr:col>9</xdr:col>
                <xdr:colOff>38100</xdr:colOff>
                <xdr:row>14</xdr:row>
                <xdr:rowOff>95250</xdr:rowOff>
              </from>
              <to>
                <xdr:col>11</xdr:col>
                <xdr:colOff>361950</xdr:colOff>
                <xdr:row>16</xdr:row>
                <xdr:rowOff>69850</xdr:rowOff>
              </to>
            </anchor>
          </controlPr>
        </control>
      </mc:Choice>
      <mc:Fallback>
        <control shapeId="21517" r:id="rId20" name="btnHomeAwaySort"/>
      </mc:Fallback>
    </mc:AlternateContent>
    <mc:AlternateContent xmlns:mc="http://schemas.openxmlformats.org/markup-compatibility/2006">
      <mc:Choice Requires="x14">
        <control shapeId="21518" r:id="rId22" name="btnGameDateSort">
          <controlPr defaultSize="0" autoLine="0" autoPict="0" r:id="rId23">
            <anchor moveWithCells="1">
              <from>
                <xdr:col>9</xdr:col>
                <xdr:colOff>57150</xdr:colOff>
                <xdr:row>18</xdr:row>
                <xdr:rowOff>88900</xdr:rowOff>
              </from>
              <to>
                <xdr:col>11</xdr:col>
                <xdr:colOff>247650</xdr:colOff>
                <xdr:row>20</xdr:row>
                <xdr:rowOff>12700</xdr:rowOff>
              </to>
            </anchor>
          </controlPr>
        </control>
      </mc:Choice>
      <mc:Fallback>
        <control shapeId="21518" r:id="rId22" name="btnGameDateSort"/>
      </mc:Fallback>
    </mc:AlternateContent>
    <mc:AlternateContent xmlns:mc="http://schemas.openxmlformats.org/markup-compatibility/2006">
      <mc:Choice Requires="x14">
        <control shapeId="21519" r:id="rId24" name="Button 15">
          <controlPr defaultSize="0" print="0" autoFill="0" autoPict="0" macro="[0]!Calculate2HScores">
            <anchor moveWithCells="1" sizeWithCells="1">
              <from>
                <xdr:col>0</xdr:col>
                <xdr:colOff>565150</xdr:colOff>
                <xdr:row>7</xdr:row>
                <xdr:rowOff>107950</xdr:rowOff>
              </from>
              <to>
                <xdr:col>4</xdr:col>
                <xdr:colOff>165100</xdr:colOff>
                <xdr:row>9</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0"/>
  <sheetViews>
    <sheetView workbookViewId="0"/>
  </sheetViews>
  <sheetFormatPr defaultRowHeight="14.5"/>
  <cols>
    <col min="1" max="1" width="23.453125" bestFit="1" customWidth="1"/>
  </cols>
  <sheetData>
    <row r="1" spans="1:7">
      <c r="A1" t="s">
        <v>288</v>
      </c>
      <c r="B1" s="67"/>
      <c r="C1" s="67"/>
      <c r="D1" s="67"/>
      <c r="E1" s="67"/>
      <c r="F1" s="67"/>
      <c r="G1" s="67"/>
    </row>
    <row r="2" spans="1:7">
      <c r="A2">
        <v>3</v>
      </c>
      <c r="B2" s="67"/>
      <c r="C2" s="67"/>
      <c r="D2" s="67"/>
      <c r="E2" s="67"/>
      <c r="F2" s="67"/>
      <c r="G2" s="67"/>
    </row>
    <row r="3" spans="1:7">
      <c r="A3" t="s">
        <v>237</v>
      </c>
      <c r="B3" s="67">
        <v>1</v>
      </c>
      <c r="C3" s="67">
        <v>2</v>
      </c>
      <c r="D3" s="67">
        <v>3</v>
      </c>
      <c r="E3" s="67">
        <v>4</v>
      </c>
      <c r="F3" s="67" t="s">
        <v>238</v>
      </c>
      <c r="G3" s="67"/>
    </row>
    <row r="4" spans="1:7">
      <c r="A4" t="s">
        <v>256</v>
      </c>
      <c r="B4" s="67">
        <v>19</v>
      </c>
      <c r="C4" s="67">
        <v>32</v>
      </c>
      <c r="D4" s="67">
        <v>24</v>
      </c>
      <c r="E4" s="67">
        <v>32</v>
      </c>
      <c r="F4" s="67">
        <v>107</v>
      </c>
      <c r="G4" s="67"/>
    </row>
    <row r="5" spans="1:7">
      <c r="A5" t="s">
        <v>282</v>
      </c>
      <c r="B5" s="67"/>
      <c r="C5" s="67"/>
      <c r="D5" s="67"/>
      <c r="E5" s="67"/>
      <c r="F5" s="67"/>
      <c r="G5" s="67"/>
    </row>
    <row r="6" spans="1:7">
      <c r="A6" t="s">
        <v>260</v>
      </c>
      <c r="B6" s="67">
        <v>38</v>
      </c>
      <c r="C6" s="67">
        <v>29</v>
      </c>
      <c r="D6" s="67">
        <v>29</v>
      </c>
      <c r="E6" s="67">
        <v>29</v>
      </c>
      <c r="F6" s="67">
        <v>125</v>
      </c>
      <c r="G6" s="67"/>
    </row>
    <row r="7" spans="1:7">
      <c r="A7" t="s">
        <v>283</v>
      </c>
      <c r="B7" s="67"/>
      <c r="C7" s="67"/>
      <c r="D7" s="67"/>
      <c r="E7" s="67"/>
      <c r="F7" s="67"/>
      <c r="G7" s="67"/>
    </row>
    <row r="8" spans="1:7">
      <c r="B8" s="67"/>
      <c r="C8" s="67"/>
      <c r="D8" s="67"/>
      <c r="E8" s="67"/>
      <c r="F8" s="67"/>
      <c r="G8" s="67"/>
    </row>
    <row r="9" spans="1:7">
      <c r="A9" t="s">
        <v>237</v>
      </c>
      <c r="B9" s="67">
        <v>1</v>
      </c>
      <c r="C9" s="67">
        <v>2</v>
      </c>
      <c r="D9" s="67">
        <v>3</v>
      </c>
      <c r="E9" s="67">
        <v>4</v>
      </c>
      <c r="F9" s="67" t="s">
        <v>238</v>
      </c>
      <c r="G9" s="67"/>
    </row>
    <row r="10" spans="1:7">
      <c r="A10" t="s">
        <v>263</v>
      </c>
      <c r="B10" s="67">
        <v>30</v>
      </c>
      <c r="C10" s="67">
        <v>23</v>
      </c>
      <c r="D10" s="67">
        <v>31</v>
      </c>
      <c r="E10" s="67">
        <v>33</v>
      </c>
      <c r="F10" s="67">
        <v>117</v>
      </c>
      <c r="G10" s="67"/>
    </row>
    <row r="11" spans="1:7">
      <c r="A11" t="s">
        <v>284</v>
      </c>
      <c r="B11" s="67"/>
      <c r="C11" s="67"/>
      <c r="D11" s="67"/>
      <c r="E11" s="67"/>
      <c r="F11" s="67"/>
      <c r="G11" s="67"/>
    </row>
    <row r="12" spans="1:7">
      <c r="A12" t="s">
        <v>262</v>
      </c>
      <c r="B12" s="67">
        <v>30</v>
      </c>
      <c r="C12" s="67">
        <v>36</v>
      </c>
      <c r="D12" s="67">
        <v>18</v>
      </c>
      <c r="E12" s="67">
        <v>29</v>
      </c>
      <c r="F12" s="67">
        <v>113</v>
      </c>
      <c r="G12" s="67"/>
    </row>
    <row r="13" spans="1:7">
      <c r="A13" t="s">
        <v>285</v>
      </c>
      <c r="B13" s="67"/>
      <c r="C13" s="67"/>
      <c r="D13" s="67"/>
      <c r="E13" s="67"/>
      <c r="F13" s="67"/>
      <c r="G13" s="67"/>
    </row>
    <row r="14" spans="1:7">
      <c r="B14" s="67"/>
      <c r="C14" s="67"/>
      <c r="D14" s="67"/>
      <c r="E14" s="67"/>
      <c r="F14" s="67"/>
      <c r="G14" s="67"/>
    </row>
    <row r="15" spans="1:7">
      <c r="A15" t="s">
        <v>271</v>
      </c>
      <c r="B15" s="67">
        <v>1</v>
      </c>
      <c r="C15" s="67">
        <v>2</v>
      </c>
      <c r="D15" s="67">
        <v>3</v>
      </c>
      <c r="E15" s="67">
        <v>4</v>
      </c>
      <c r="F15" s="67" t="s">
        <v>272</v>
      </c>
      <c r="G15" s="67" t="s">
        <v>238</v>
      </c>
    </row>
    <row r="16" spans="1:7">
      <c r="A16" t="s">
        <v>258</v>
      </c>
      <c r="B16" s="67">
        <v>22</v>
      </c>
      <c r="C16" s="67">
        <v>31</v>
      </c>
      <c r="D16" s="67">
        <v>39</v>
      </c>
      <c r="E16" s="67">
        <v>27</v>
      </c>
      <c r="F16" s="67">
        <v>16</v>
      </c>
      <c r="G16" s="67">
        <v>135</v>
      </c>
    </row>
    <row r="17" spans="1:7">
      <c r="A17" t="s">
        <v>286</v>
      </c>
      <c r="B17" s="67"/>
      <c r="C17" s="67"/>
      <c r="D17" s="67"/>
      <c r="E17" s="67"/>
      <c r="F17" s="67"/>
      <c r="G17" s="67"/>
    </row>
    <row r="18" spans="1:7">
      <c r="A18" t="s">
        <v>242</v>
      </c>
      <c r="B18" s="67">
        <v>34</v>
      </c>
      <c r="C18" s="67">
        <v>36</v>
      </c>
      <c r="D18" s="67">
        <v>28</v>
      </c>
      <c r="E18" s="67">
        <v>21</v>
      </c>
      <c r="F18" s="67">
        <v>15</v>
      </c>
      <c r="G18" s="67">
        <v>134</v>
      </c>
    </row>
    <row r="19" spans="1:7">
      <c r="A19" t="s">
        <v>287</v>
      </c>
      <c r="B19" s="67"/>
      <c r="C19" s="67"/>
      <c r="D19" s="67"/>
      <c r="E19" s="67"/>
      <c r="F19" s="67"/>
      <c r="G19" s="67"/>
    </row>
    <row r="20" spans="1:7">
      <c r="B20" s="67"/>
      <c r="C20" s="67"/>
      <c r="D20" s="67"/>
      <c r="E20" s="67"/>
      <c r="F20" s="67"/>
      <c r="G20" s="67"/>
    </row>
    <row r="21" spans="1:7">
      <c r="B21" s="67"/>
      <c r="C21" s="67"/>
      <c r="D21" s="67"/>
      <c r="E21" s="67"/>
      <c r="F21" s="67"/>
      <c r="G21" s="67"/>
    </row>
    <row r="22" spans="1:7">
      <c r="B22" s="67"/>
      <c r="C22" s="67"/>
      <c r="D22" s="67"/>
      <c r="E22" s="67"/>
      <c r="F22" s="67"/>
      <c r="G22" s="67"/>
    </row>
    <row r="23" spans="1:7">
      <c r="B23" s="67"/>
      <c r="C23" s="67"/>
      <c r="D23" s="67"/>
      <c r="E23" s="67"/>
      <c r="F23" s="67"/>
      <c r="G23" s="67"/>
    </row>
    <row r="24" spans="1:7">
      <c r="B24" s="67"/>
      <c r="C24" s="67"/>
      <c r="D24" s="67"/>
      <c r="E24" s="67"/>
      <c r="F24" s="67"/>
      <c r="G24" s="67"/>
    </row>
    <row r="25" spans="1:7">
      <c r="B25" s="67"/>
      <c r="C25" s="67"/>
      <c r="D25" s="67"/>
      <c r="E25" s="67"/>
      <c r="F25" s="67"/>
      <c r="G25" s="67"/>
    </row>
    <row r="26" spans="1:7">
      <c r="B26" s="67"/>
      <c r="C26" s="67"/>
      <c r="D26" s="67"/>
      <c r="E26" s="67"/>
      <c r="F26" s="67"/>
      <c r="G26" s="67"/>
    </row>
    <row r="27" spans="1:7">
      <c r="B27" s="67"/>
      <c r="C27" s="67"/>
      <c r="D27" s="67"/>
      <c r="E27" s="67"/>
      <c r="F27" s="67"/>
      <c r="G27" s="67"/>
    </row>
    <row r="28" spans="1:7">
      <c r="B28" s="67"/>
      <c r="C28" s="67"/>
      <c r="D28" s="67"/>
      <c r="E28" s="67"/>
      <c r="F28" s="67"/>
      <c r="G28" s="67"/>
    </row>
    <row r="29" spans="1:7">
      <c r="B29" s="67"/>
      <c r="C29" s="67"/>
      <c r="D29" s="67"/>
      <c r="E29" s="67"/>
      <c r="F29" s="67"/>
      <c r="G29" s="67"/>
    </row>
    <row r="30" spans="1:7">
      <c r="B30" s="67"/>
      <c r="C30" s="67"/>
      <c r="D30" s="67"/>
      <c r="E30" s="67"/>
      <c r="F30" s="67"/>
      <c r="G30" s="67"/>
    </row>
    <row r="31" spans="1:7">
      <c r="B31" s="67"/>
      <c r="C31" s="67"/>
      <c r="D31" s="67"/>
      <c r="E31" s="67"/>
      <c r="F31" s="67"/>
      <c r="G31" s="67"/>
    </row>
    <row r="32" spans="1:7">
      <c r="B32" s="67"/>
      <c r="C32" s="67"/>
      <c r="D32" s="67"/>
      <c r="E32" s="67"/>
      <c r="F32" s="67"/>
      <c r="G32" s="67"/>
    </row>
    <row r="33" spans="2:7">
      <c r="B33" s="67"/>
      <c r="C33" s="67"/>
      <c r="D33" s="67"/>
      <c r="E33" s="67"/>
      <c r="F33" s="67"/>
      <c r="G33" s="67"/>
    </row>
    <row r="34" spans="2:7">
      <c r="B34" s="67"/>
      <c r="C34" s="67"/>
      <c r="D34" s="67"/>
      <c r="E34" s="67"/>
      <c r="F34" s="67"/>
      <c r="G34" s="67"/>
    </row>
    <row r="35" spans="2:7">
      <c r="B35" s="67"/>
      <c r="C35" s="67"/>
      <c r="D35" s="67"/>
      <c r="E35" s="67"/>
      <c r="F35" s="67"/>
      <c r="G35" s="67"/>
    </row>
    <row r="36" spans="2:7">
      <c r="B36" s="67"/>
      <c r="C36" s="67"/>
      <c r="D36" s="67"/>
      <c r="E36" s="67"/>
      <c r="F36" s="67"/>
      <c r="G36" s="67"/>
    </row>
    <row r="37" spans="2:7">
      <c r="B37" s="67"/>
      <c r="C37" s="67"/>
      <c r="D37" s="67"/>
      <c r="E37" s="67"/>
      <c r="F37" s="67"/>
      <c r="G37" s="67"/>
    </row>
    <row r="38" spans="2:7">
      <c r="B38" s="67"/>
      <c r="C38" s="67"/>
      <c r="D38" s="67"/>
      <c r="E38" s="67"/>
      <c r="F38" s="67"/>
      <c r="G38" s="67"/>
    </row>
    <row r="39" spans="2:7">
      <c r="B39" s="67"/>
      <c r="C39" s="67"/>
      <c r="D39" s="67"/>
      <c r="E39" s="67"/>
      <c r="F39" s="67"/>
      <c r="G39" s="67"/>
    </row>
    <row r="40" spans="2:7">
      <c r="B40" s="67"/>
      <c r="C40" s="67"/>
      <c r="D40" s="67"/>
      <c r="E40" s="67"/>
      <c r="F40" s="67"/>
      <c r="G40" s="67"/>
    </row>
    <row r="41" spans="2:7">
      <c r="B41" s="67"/>
      <c r="C41" s="67"/>
      <c r="D41" s="67"/>
      <c r="E41" s="67"/>
      <c r="F41" s="67"/>
      <c r="G41" s="67"/>
    </row>
    <row r="42" spans="2:7">
      <c r="B42" s="67"/>
      <c r="C42" s="67"/>
      <c r="D42" s="67"/>
      <c r="E42" s="67"/>
      <c r="F42" s="67"/>
      <c r="G42" s="67"/>
    </row>
    <row r="43" spans="2:7">
      <c r="B43" s="67"/>
      <c r="C43" s="67"/>
      <c r="D43" s="67"/>
      <c r="E43" s="67"/>
      <c r="F43" s="67"/>
      <c r="G43" s="67"/>
    </row>
    <row r="44" spans="2:7">
      <c r="B44" s="67"/>
      <c r="C44" s="67"/>
      <c r="D44" s="67"/>
      <c r="E44" s="67"/>
      <c r="F44" s="67"/>
      <c r="G44" s="67"/>
    </row>
    <row r="45" spans="2:7">
      <c r="B45" s="67"/>
      <c r="C45" s="67"/>
      <c r="D45" s="67"/>
      <c r="E45" s="67"/>
      <c r="F45" s="67"/>
      <c r="G45" s="67"/>
    </row>
    <row r="46" spans="2:7">
      <c r="B46" s="67"/>
      <c r="C46" s="67"/>
      <c r="D46" s="67"/>
      <c r="E46" s="67"/>
      <c r="F46" s="67"/>
      <c r="G46" s="67"/>
    </row>
    <row r="47" spans="2:7">
      <c r="B47" s="67"/>
      <c r="C47" s="67"/>
      <c r="D47" s="67"/>
      <c r="E47" s="67"/>
      <c r="F47" s="67"/>
      <c r="G47" s="67"/>
    </row>
    <row r="48" spans="2:7">
      <c r="B48" s="67"/>
      <c r="C48" s="67"/>
      <c r="D48" s="67"/>
      <c r="E48" s="67"/>
      <c r="F48" s="67"/>
      <c r="G48" s="67"/>
    </row>
    <row r="49" spans="2:7">
      <c r="B49" s="67"/>
      <c r="C49" s="67"/>
      <c r="D49" s="67"/>
      <c r="E49" s="67"/>
      <c r="F49" s="67"/>
      <c r="G49" s="67"/>
    </row>
    <row r="50" spans="2:7">
      <c r="B50" s="67"/>
      <c r="C50" s="67"/>
      <c r="D50" s="67"/>
      <c r="E50" s="67"/>
      <c r="F50" s="67"/>
      <c r="G50" s="67"/>
    </row>
    <row r="51" spans="2:7">
      <c r="B51" s="67"/>
      <c r="C51" s="67"/>
      <c r="D51" s="67"/>
      <c r="E51" s="67"/>
      <c r="F51" s="67"/>
      <c r="G51" s="67"/>
    </row>
    <row r="52" spans="2:7">
      <c r="B52" s="67"/>
      <c r="C52" s="67"/>
      <c r="D52" s="67"/>
      <c r="E52" s="67"/>
      <c r="F52" s="67"/>
      <c r="G52" s="67"/>
    </row>
    <row r="53" spans="2:7">
      <c r="B53" s="67"/>
      <c r="C53" s="67"/>
      <c r="D53" s="67"/>
      <c r="E53" s="67"/>
      <c r="F53" s="67"/>
      <c r="G53" s="67"/>
    </row>
    <row r="54" spans="2:7">
      <c r="B54" s="67"/>
      <c r="C54" s="67"/>
      <c r="D54" s="67"/>
      <c r="E54" s="67"/>
      <c r="F54" s="67"/>
      <c r="G54" s="67"/>
    </row>
    <row r="55" spans="2:7">
      <c r="B55" s="67"/>
      <c r="C55" s="67"/>
      <c r="D55" s="67"/>
      <c r="E55" s="67"/>
      <c r="F55" s="67"/>
      <c r="G55" s="67"/>
    </row>
    <row r="56" spans="2:7">
      <c r="B56" s="67"/>
      <c r="C56" s="67"/>
      <c r="D56" s="67"/>
      <c r="E56" s="67"/>
      <c r="F56" s="67"/>
      <c r="G56" s="67"/>
    </row>
    <row r="57" spans="2:7">
      <c r="B57" s="67"/>
      <c r="C57" s="67"/>
      <c r="D57" s="67"/>
      <c r="E57" s="67"/>
      <c r="F57" s="67"/>
      <c r="G57" s="67"/>
    </row>
    <row r="58" spans="2:7">
      <c r="B58" s="67"/>
      <c r="C58" s="67"/>
      <c r="D58" s="67"/>
      <c r="E58" s="67"/>
      <c r="F58" s="67"/>
      <c r="G58" s="67"/>
    </row>
    <row r="59" spans="2:7">
      <c r="B59" s="67"/>
      <c r="C59" s="67"/>
      <c r="D59" s="67"/>
      <c r="E59" s="67"/>
      <c r="F59" s="67"/>
      <c r="G59" s="67"/>
    </row>
    <row r="60" spans="2:7">
      <c r="B60" s="67"/>
      <c r="C60" s="67"/>
      <c r="D60" s="67"/>
      <c r="E60" s="67"/>
      <c r="F60" s="67"/>
      <c r="G60" s="67"/>
    </row>
    <row r="61" spans="2:7">
      <c r="B61" s="67"/>
      <c r="C61" s="67"/>
      <c r="D61" s="67"/>
      <c r="E61" s="67"/>
      <c r="F61" s="67"/>
      <c r="G61" s="67"/>
    </row>
    <row r="62" spans="2:7">
      <c r="B62" s="67"/>
      <c r="C62" s="67"/>
      <c r="D62" s="67"/>
      <c r="E62" s="67"/>
      <c r="F62" s="67"/>
      <c r="G62" s="67"/>
    </row>
    <row r="63" spans="2:7">
      <c r="B63" s="67"/>
      <c r="C63" s="67"/>
      <c r="D63" s="67"/>
      <c r="E63" s="67"/>
      <c r="F63" s="67"/>
      <c r="G63" s="67"/>
    </row>
    <row r="64" spans="2:7">
      <c r="B64" s="67"/>
      <c r="C64" s="67"/>
      <c r="D64" s="67"/>
      <c r="E64" s="67"/>
      <c r="F64" s="67"/>
      <c r="G64" s="67"/>
    </row>
    <row r="65" spans="2:7">
      <c r="B65" s="67"/>
      <c r="C65" s="67"/>
      <c r="D65" s="67"/>
      <c r="E65" s="67"/>
      <c r="F65" s="67"/>
      <c r="G65" s="67"/>
    </row>
    <row r="66" spans="2:7">
      <c r="B66" s="67"/>
      <c r="C66" s="67"/>
      <c r="D66" s="67"/>
      <c r="E66" s="67"/>
      <c r="F66" s="67"/>
      <c r="G66" s="67"/>
    </row>
    <row r="67" spans="2:7">
      <c r="B67" s="67"/>
      <c r="C67" s="67"/>
      <c r="D67" s="67"/>
      <c r="E67" s="67"/>
      <c r="F67" s="67"/>
      <c r="G67" s="67"/>
    </row>
    <row r="68" spans="2:7">
      <c r="B68" s="67"/>
      <c r="C68" s="67"/>
      <c r="D68" s="67"/>
      <c r="E68" s="67"/>
      <c r="F68" s="67"/>
      <c r="G68" s="67"/>
    </row>
    <row r="69" spans="2:7">
      <c r="B69" s="67"/>
      <c r="C69" s="67"/>
      <c r="D69" s="67"/>
      <c r="E69" s="67"/>
      <c r="F69" s="67"/>
      <c r="G69" s="67"/>
    </row>
    <row r="70" spans="2:7">
      <c r="B70" s="67"/>
      <c r="C70" s="67"/>
      <c r="D70" s="67"/>
      <c r="E70" s="67"/>
      <c r="F70" s="67"/>
      <c r="G70" s="67"/>
    </row>
    <row r="71" spans="2:7">
      <c r="B71" s="67"/>
      <c r="C71" s="67"/>
      <c r="D71" s="67"/>
      <c r="E71" s="67"/>
      <c r="F71" s="67"/>
      <c r="G71" s="67"/>
    </row>
    <row r="72" spans="2:7">
      <c r="B72" s="67"/>
      <c r="C72" s="67"/>
      <c r="D72" s="67"/>
      <c r="E72" s="67"/>
      <c r="F72" s="67"/>
      <c r="G72" s="67"/>
    </row>
    <row r="73" spans="2:7">
      <c r="B73" s="67"/>
      <c r="C73" s="67"/>
      <c r="D73" s="67"/>
      <c r="E73" s="67"/>
      <c r="F73" s="67"/>
      <c r="G73" s="67"/>
    </row>
    <row r="74" spans="2:7">
      <c r="B74" s="67"/>
      <c r="C74" s="67"/>
      <c r="D74" s="67"/>
      <c r="E74" s="67"/>
      <c r="F74" s="67"/>
      <c r="G74" s="67"/>
    </row>
    <row r="75" spans="2:7">
      <c r="B75" s="67"/>
      <c r="C75" s="67"/>
      <c r="D75" s="67"/>
      <c r="E75" s="67"/>
      <c r="F75" s="67"/>
      <c r="G75" s="67"/>
    </row>
    <row r="76" spans="2:7">
      <c r="B76" s="67"/>
      <c r="C76" s="67"/>
      <c r="D76" s="67"/>
      <c r="E76" s="67"/>
      <c r="F76" s="67"/>
      <c r="G76" s="67"/>
    </row>
    <row r="77" spans="2:7">
      <c r="B77" s="67"/>
      <c r="C77" s="67"/>
      <c r="D77" s="67"/>
      <c r="E77" s="67"/>
      <c r="F77" s="67"/>
      <c r="G77" s="67"/>
    </row>
    <row r="78" spans="2:7">
      <c r="B78" s="67"/>
      <c r="C78" s="67"/>
      <c r="D78" s="67"/>
      <c r="E78" s="67"/>
      <c r="F78" s="67"/>
      <c r="G78" s="67"/>
    </row>
    <row r="79" spans="2:7">
      <c r="B79" s="67"/>
      <c r="C79" s="67"/>
      <c r="D79" s="67"/>
      <c r="E79" s="67"/>
      <c r="F79" s="67"/>
      <c r="G79" s="67"/>
    </row>
    <row r="80" spans="2:7">
      <c r="B80" s="67"/>
      <c r="C80" s="67"/>
      <c r="D80" s="67"/>
      <c r="E80" s="67"/>
      <c r="F80" s="67"/>
      <c r="G80" s="67"/>
    </row>
    <row r="81" spans="2:7">
      <c r="B81" s="67"/>
      <c r="C81" s="67"/>
      <c r="D81" s="67"/>
      <c r="E81" s="67"/>
      <c r="F81" s="67"/>
      <c r="G81" s="67"/>
    </row>
    <row r="82" spans="2:7">
      <c r="B82" s="67"/>
      <c r="C82" s="67"/>
      <c r="D82" s="67"/>
      <c r="E82" s="67"/>
      <c r="F82" s="67"/>
      <c r="G82" s="67"/>
    </row>
    <row r="83" spans="2:7">
      <c r="B83" s="67"/>
      <c r="C83" s="67"/>
      <c r="D83" s="67"/>
      <c r="E83" s="67"/>
      <c r="F83" s="67"/>
      <c r="G83" s="67"/>
    </row>
    <row r="84" spans="2:7">
      <c r="B84" s="67"/>
      <c r="C84" s="67"/>
      <c r="D84" s="67"/>
      <c r="E84" s="67"/>
      <c r="F84" s="67"/>
      <c r="G84" s="67"/>
    </row>
    <row r="85" spans="2:7">
      <c r="B85" s="67"/>
      <c r="C85" s="67"/>
      <c r="D85" s="67"/>
      <c r="E85" s="67"/>
      <c r="F85" s="67"/>
      <c r="G85" s="67"/>
    </row>
    <row r="86" spans="2:7">
      <c r="B86" s="67"/>
      <c r="C86" s="67"/>
      <c r="D86" s="67"/>
      <c r="E86" s="67"/>
      <c r="F86" s="67"/>
      <c r="G86" s="67"/>
    </row>
    <row r="87" spans="2:7">
      <c r="B87" s="67"/>
      <c r="C87" s="67"/>
      <c r="D87" s="67"/>
      <c r="E87" s="67"/>
      <c r="F87" s="67"/>
      <c r="G87" s="67"/>
    </row>
    <row r="88" spans="2:7">
      <c r="B88" s="67"/>
      <c r="C88" s="67"/>
      <c r="D88" s="67"/>
      <c r="E88" s="67"/>
      <c r="F88" s="67"/>
      <c r="G88" s="67"/>
    </row>
    <row r="89" spans="2:7">
      <c r="B89" s="67"/>
      <c r="C89" s="67"/>
      <c r="D89" s="67"/>
      <c r="E89" s="67"/>
      <c r="F89" s="67"/>
      <c r="G89" s="67"/>
    </row>
    <row r="90" spans="2:7">
      <c r="B90" s="67"/>
      <c r="C90" s="67"/>
      <c r="D90" s="67"/>
      <c r="E90" s="67"/>
      <c r="F90" s="67"/>
      <c r="G90" s="67"/>
    </row>
    <row r="91" spans="2:7">
      <c r="B91" s="67"/>
      <c r="C91" s="67"/>
      <c r="D91" s="67"/>
      <c r="E91" s="67"/>
      <c r="F91" s="67"/>
      <c r="G91" s="67"/>
    </row>
    <row r="92" spans="2:7">
      <c r="B92" s="67"/>
      <c r="C92" s="67"/>
      <c r="D92" s="67"/>
      <c r="E92" s="67"/>
      <c r="F92" s="67"/>
      <c r="G92" s="67"/>
    </row>
    <row r="93" spans="2:7">
      <c r="B93" s="67"/>
      <c r="C93" s="67"/>
      <c r="D93" s="67"/>
      <c r="E93" s="67"/>
      <c r="F93" s="67"/>
      <c r="G93" s="67"/>
    </row>
    <row r="94" spans="2:7">
      <c r="B94" s="67"/>
      <c r="C94" s="67"/>
      <c r="D94" s="67"/>
      <c r="E94" s="67"/>
      <c r="F94" s="67"/>
      <c r="G94" s="67"/>
    </row>
    <row r="95" spans="2:7">
      <c r="B95" s="67"/>
      <c r="C95" s="67"/>
      <c r="D95" s="67"/>
      <c r="E95" s="67"/>
      <c r="F95" s="67"/>
      <c r="G95" s="67"/>
    </row>
    <row r="96" spans="2:7">
      <c r="B96" s="67"/>
      <c r="C96" s="67"/>
      <c r="D96" s="67"/>
      <c r="E96" s="67"/>
      <c r="F96" s="67"/>
      <c r="G96" s="67"/>
    </row>
    <row r="97" spans="2:7">
      <c r="B97" s="67"/>
      <c r="C97" s="67"/>
      <c r="D97" s="67"/>
      <c r="E97" s="67"/>
      <c r="F97" s="67"/>
      <c r="G97" s="67"/>
    </row>
    <row r="98" spans="2:7">
      <c r="B98" s="67"/>
      <c r="C98" s="67"/>
      <c r="D98" s="67"/>
      <c r="E98" s="67"/>
      <c r="F98" s="67"/>
      <c r="G98" s="67"/>
    </row>
    <row r="99" spans="2:7">
      <c r="B99" s="67"/>
      <c r="C99" s="67"/>
      <c r="D99" s="67"/>
      <c r="E99" s="67"/>
      <c r="F99" s="67"/>
      <c r="G99" s="67"/>
    </row>
    <row r="100" spans="2:7">
      <c r="B100" s="67"/>
      <c r="C100" s="67"/>
      <c r="D100" s="67"/>
      <c r="E100" s="67"/>
      <c r="F100" s="67"/>
      <c r="G100" s="6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C23"/>
  <sheetViews>
    <sheetView topLeftCell="C22" workbookViewId="0">
      <selection activeCell="V40" sqref="V40"/>
    </sheetView>
  </sheetViews>
  <sheetFormatPr defaultRowHeight="14.5"/>
  <sheetData>
    <row r="2" spans="2:2">
      <c r="B2">
        <f>AVERAGEIF('Trail Blazers'!C2:C12,"Away",'Trail Blazers'!G2:G12)</f>
        <v>51.18181818181818</v>
      </c>
    </row>
    <row r="4" spans="2:2">
      <c r="B4" t="e">
        <f>AVERAGEIF(Heat!C2:C15,"Home",Heat!G2:G15)</f>
        <v>#DIV/0!</v>
      </c>
    </row>
    <row r="22" spans="2:3">
      <c r="C22" t="s">
        <v>138</v>
      </c>
    </row>
    <row r="23" spans="2:3">
      <c r="B23" t="s">
        <v>137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AF987-CDB9-4498-8AE6-1B684F80E9BC}">
  <sheetPr codeName="Sheet23"/>
  <dimension ref="A1"/>
  <sheetViews>
    <sheetView workbookViewId="0"/>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N32"/>
  <sheetViews>
    <sheetView workbookViewId="0">
      <pane xSplit="1" ySplit="2" topLeftCell="B3" activePane="bottomRight" state="frozen"/>
      <selection pane="topRight" activeCell="B1" sqref="B1"/>
      <selection pane="bottomLeft" activeCell="A3" sqref="A3"/>
      <selection pane="bottomRight" activeCell="C17" sqref="C17"/>
    </sheetView>
  </sheetViews>
  <sheetFormatPr defaultRowHeight="14.5"/>
  <cols>
    <col min="1" max="1" width="20.81640625" bestFit="1" customWidth="1"/>
  </cols>
  <sheetData>
    <row r="1" spans="1:14" ht="31.5" thickBot="1">
      <c r="A1" s="1" t="s">
        <v>0</v>
      </c>
    </row>
    <row r="2" spans="1:14" ht="15" thickBot="1">
      <c r="A2" s="10"/>
      <c r="B2" s="11" t="s">
        <v>1</v>
      </c>
      <c r="C2" s="11" t="s">
        <v>2</v>
      </c>
      <c r="D2" s="11" t="s">
        <v>3</v>
      </c>
      <c r="E2" s="12" t="s">
        <v>4</v>
      </c>
      <c r="F2" s="13" t="s">
        <v>5</v>
      </c>
      <c r="G2" s="13" t="s">
        <v>6</v>
      </c>
      <c r="H2" s="13" t="s">
        <v>7</v>
      </c>
      <c r="I2" s="14" t="s">
        <v>8</v>
      </c>
      <c r="J2" s="11" t="s">
        <v>9</v>
      </c>
      <c r="K2" s="11" t="s">
        <v>10</v>
      </c>
      <c r="L2" s="12" t="s">
        <v>11</v>
      </c>
      <c r="M2" s="11" t="s">
        <v>12</v>
      </c>
      <c r="N2" s="13" t="s">
        <v>13</v>
      </c>
    </row>
    <row r="3" spans="1:14" ht="15" thickBot="1">
      <c r="A3" s="2" t="s">
        <v>14</v>
      </c>
      <c r="B3" s="3">
        <v>60</v>
      </c>
      <c r="C3" s="3">
        <v>14</v>
      </c>
      <c r="D3" s="3">
        <v>0.81100000000000005</v>
      </c>
      <c r="E3" s="4" t="s">
        <v>15</v>
      </c>
      <c r="F3" s="3" t="s">
        <v>16</v>
      </c>
      <c r="G3" s="3" t="s">
        <v>17</v>
      </c>
      <c r="H3" s="5">
        <v>43071</v>
      </c>
      <c r="I3" s="4" t="s">
        <v>18</v>
      </c>
      <c r="J3" s="3">
        <v>115.9</v>
      </c>
      <c r="K3" s="3">
        <v>104.3</v>
      </c>
      <c r="L3" s="6">
        <v>11.6</v>
      </c>
      <c r="M3" s="3" t="s">
        <v>19</v>
      </c>
      <c r="N3" s="5">
        <v>42949</v>
      </c>
    </row>
    <row r="4" spans="1:14" ht="15" thickBot="1">
      <c r="A4" s="2" t="s">
        <v>20</v>
      </c>
      <c r="B4" s="3">
        <v>57</v>
      </c>
      <c r="C4" s="3">
        <v>16</v>
      </c>
      <c r="D4" s="3">
        <v>0.78100000000000003</v>
      </c>
      <c r="E4" s="4">
        <v>2.5</v>
      </c>
      <c r="F4" s="3" t="s">
        <v>21</v>
      </c>
      <c r="G4" s="3" t="s">
        <v>22</v>
      </c>
      <c r="H4" s="5">
        <v>42983</v>
      </c>
      <c r="I4" s="4" t="s">
        <v>23</v>
      </c>
      <c r="J4" s="3">
        <v>106.2</v>
      </c>
      <c r="K4" s="3">
        <v>98.1</v>
      </c>
      <c r="L4" s="6">
        <v>8.1999999999999993</v>
      </c>
      <c r="M4" s="3" t="s">
        <v>24</v>
      </c>
      <c r="N4" s="5">
        <v>42919</v>
      </c>
    </row>
    <row r="5" spans="1:14" ht="15" thickBot="1">
      <c r="A5" s="2" t="s">
        <v>25</v>
      </c>
      <c r="B5" s="3">
        <v>51</v>
      </c>
      <c r="C5" s="3">
        <v>23</v>
      </c>
      <c r="D5" s="3">
        <v>0.68899999999999995</v>
      </c>
      <c r="E5" s="4">
        <v>9</v>
      </c>
      <c r="F5" s="3" t="s">
        <v>26</v>
      </c>
      <c r="G5" s="3" t="s">
        <v>27</v>
      </c>
      <c r="H5" s="5">
        <v>43014</v>
      </c>
      <c r="I5" s="4" t="s">
        <v>28</v>
      </c>
      <c r="J5" s="3">
        <v>115.6</v>
      </c>
      <c r="K5" s="3">
        <v>108.9</v>
      </c>
      <c r="L5" s="6">
        <v>6.8</v>
      </c>
      <c r="M5" s="3" t="s">
        <v>29</v>
      </c>
      <c r="N5" s="5">
        <v>42919</v>
      </c>
    </row>
    <row r="6" spans="1:14" ht="15" thickBot="1">
      <c r="A6" s="2" t="s">
        <v>30</v>
      </c>
      <c r="B6" s="3">
        <v>48</v>
      </c>
      <c r="C6" s="3">
        <v>26</v>
      </c>
      <c r="D6" s="3">
        <v>0.64900000000000002</v>
      </c>
      <c r="E6" s="4">
        <v>12</v>
      </c>
      <c r="F6" s="3" t="s">
        <v>31</v>
      </c>
      <c r="G6" s="3" t="s">
        <v>32</v>
      </c>
      <c r="H6" s="5">
        <v>42983</v>
      </c>
      <c r="I6" s="4" t="s">
        <v>33</v>
      </c>
      <c r="J6" s="3">
        <v>107.8</v>
      </c>
      <c r="K6" s="3">
        <v>105.1</v>
      </c>
      <c r="L6" s="6">
        <v>2.7</v>
      </c>
      <c r="M6" s="3" t="s">
        <v>34</v>
      </c>
      <c r="N6" s="5">
        <v>42949</v>
      </c>
    </row>
    <row r="7" spans="1:14" ht="15" thickBot="1">
      <c r="A7" s="2" t="s">
        <v>35</v>
      </c>
      <c r="B7" s="3">
        <v>47</v>
      </c>
      <c r="C7" s="3">
        <v>26</v>
      </c>
      <c r="D7" s="3">
        <v>0.64400000000000002</v>
      </c>
      <c r="E7" s="4">
        <v>12.5</v>
      </c>
      <c r="F7" s="3" t="s">
        <v>36</v>
      </c>
      <c r="G7" s="3" t="s">
        <v>37</v>
      </c>
      <c r="H7" s="5">
        <v>42923</v>
      </c>
      <c r="I7" s="4" t="s">
        <v>38</v>
      </c>
      <c r="J7" s="3">
        <v>110</v>
      </c>
      <c r="K7" s="3">
        <v>106.8</v>
      </c>
      <c r="L7" s="6">
        <v>3.2</v>
      </c>
      <c r="M7" s="3" t="s">
        <v>39</v>
      </c>
      <c r="N7" s="5">
        <v>42860</v>
      </c>
    </row>
    <row r="8" spans="1:14" ht="15" thickBot="1">
      <c r="A8" s="2" t="s">
        <v>40</v>
      </c>
      <c r="B8" s="3">
        <v>46</v>
      </c>
      <c r="C8" s="3">
        <v>28</v>
      </c>
      <c r="D8" s="3">
        <v>0.622</v>
      </c>
      <c r="E8" s="4">
        <v>14</v>
      </c>
      <c r="F8" s="3" t="s">
        <v>17</v>
      </c>
      <c r="G8" s="3" t="s">
        <v>41</v>
      </c>
      <c r="H8" s="5">
        <v>42922</v>
      </c>
      <c r="I8" s="4" t="s">
        <v>42</v>
      </c>
      <c r="J8" s="3">
        <v>109.4</v>
      </c>
      <c r="K8" s="3">
        <v>106.9</v>
      </c>
      <c r="L8" s="6">
        <v>2.5</v>
      </c>
      <c r="M8" s="3" t="s">
        <v>34</v>
      </c>
      <c r="N8" s="5">
        <v>42890</v>
      </c>
    </row>
    <row r="9" spans="1:14" ht="15" thickBot="1">
      <c r="A9" s="2" t="s">
        <v>43</v>
      </c>
      <c r="B9" s="3">
        <v>45</v>
      </c>
      <c r="C9" s="3">
        <v>29</v>
      </c>
      <c r="D9" s="3">
        <v>0.60799999999999998</v>
      </c>
      <c r="E9" s="4">
        <v>15</v>
      </c>
      <c r="F9" s="3" t="s">
        <v>44</v>
      </c>
      <c r="G9" s="3" t="s">
        <v>45</v>
      </c>
      <c r="H9" s="5">
        <v>43071</v>
      </c>
      <c r="I9" s="4" t="s">
        <v>46</v>
      </c>
      <c r="J9" s="3">
        <v>107.2</v>
      </c>
      <c r="K9" s="3">
        <v>102.9</v>
      </c>
      <c r="L9" s="6">
        <v>4.3</v>
      </c>
      <c r="M9" s="3" t="s">
        <v>47</v>
      </c>
      <c r="N9" s="5">
        <v>42919</v>
      </c>
    </row>
    <row r="10" spans="1:14" ht="15" thickBot="1">
      <c r="A10" s="2" t="s">
        <v>48</v>
      </c>
      <c r="B10" s="3">
        <v>45</v>
      </c>
      <c r="C10" s="3">
        <v>29</v>
      </c>
      <c r="D10" s="3">
        <v>0.60799999999999998</v>
      </c>
      <c r="E10" s="4">
        <v>15</v>
      </c>
      <c r="F10" s="3" t="s">
        <v>44</v>
      </c>
      <c r="G10" s="3" t="s">
        <v>45</v>
      </c>
      <c r="H10" s="5">
        <v>42893</v>
      </c>
      <c r="I10" s="4" t="s">
        <v>49</v>
      </c>
      <c r="J10" s="3">
        <v>100.4</v>
      </c>
      <c r="K10" s="3">
        <v>96.7</v>
      </c>
      <c r="L10" s="6">
        <v>3.7</v>
      </c>
      <c r="M10" s="3" t="s">
        <v>50</v>
      </c>
      <c r="N10" s="5">
        <v>42860</v>
      </c>
    </row>
    <row r="11" spans="1:14" ht="15" thickBot="1">
      <c r="A11" s="2" t="s">
        <v>51</v>
      </c>
      <c r="B11" s="3">
        <v>44</v>
      </c>
      <c r="C11" s="3">
        <v>31</v>
      </c>
      <c r="D11" s="3">
        <v>0.58699999999999997</v>
      </c>
      <c r="E11" s="4">
        <v>16.5</v>
      </c>
      <c r="F11" s="3" t="s">
        <v>52</v>
      </c>
      <c r="G11" s="3" t="s">
        <v>53</v>
      </c>
      <c r="H11" s="5">
        <v>42922</v>
      </c>
      <c r="I11" s="4" t="s">
        <v>54</v>
      </c>
      <c r="J11" s="3">
        <v>107.9</v>
      </c>
      <c r="K11" s="3">
        <v>104.5</v>
      </c>
      <c r="L11" s="6">
        <v>3.4</v>
      </c>
      <c r="M11" s="3" t="s">
        <v>29</v>
      </c>
      <c r="N11" s="5">
        <v>42860</v>
      </c>
    </row>
    <row r="12" spans="1:14" ht="15" thickBot="1">
      <c r="A12" s="7" t="s">
        <v>55</v>
      </c>
      <c r="B12" s="3">
        <v>42</v>
      </c>
      <c r="C12" s="3">
        <v>31</v>
      </c>
      <c r="D12" s="3">
        <v>0.57499999999999996</v>
      </c>
      <c r="E12" s="4">
        <v>17.5</v>
      </c>
      <c r="F12" s="3" t="s">
        <v>56</v>
      </c>
      <c r="G12" s="3" t="s">
        <v>57</v>
      </c>
      <c r="H12" s="5">
        <v>42952</v>
      </c>
      <c r="I12" s="4" t="s">
        <v>58</v>
      </c>
      <c r="J12" s="3">
        <v>107</v>
      </c>
      <c r="K12" s="3">
        <v>106.1</v>
      </c>
      <c r="L12" s="6">
        <v>0.8</v>
      </c>
      <c r="M12" s="3" t="s">
        <v>50</v>
      </c>
      <c r="N12" s="5">
        <v>42919</v>
      </c>
    </row>
    <row r="13" spans="1:14" ht="15" thickBot="1">
      <c r="A13" s="7" t="s">
        <v>59</v>
      </c>
      <c r="B13" s="3">
        <v>40</v>
      </c>
      <c r="C13" s="3">
        <v>34</v>
      </c>
      <c r="D13" s="3">
        <v>0.54100000000000004</v>
      </c>
      <c r="E13" s="4">
        <v>20</v>
      </c>
      <c r="F13" s="3" t="s">
        <v>60</v>
      </c>
      <c r="G13" s="3" t="s">
        <v>61</v>
      </c>
      <c r="H13" s="5">
        <v>42922</v>
      </c>
      <c r="I13" s="4" t="s">
        <v>62</v>
      </c>
      <c r="J13" s="3">
        <v>100.7</v>
      </c>
      <c r="K13" s="3">
        <v>100.2</v>
      </c>
      <c r="L13" s="6">
        <v>0.5</v>
      </c>
      <c r="M13" s="3" t="s">
        <v>63</v>
      </c>
      <c r="N13" s="5">
        <v>42831</v>
      </c>
    </row>
    <row r="14" spans="1:14" ht="15" thickBot="1">
      <c r="A14" s="7" t="s">
        <v>64</v>
      </c>
      <c r="B14" s="3">
        <v>38</v>
      </c>
      <c r="C14" s="3">
        <v>36</v>
      </c>
      <c r="D14" s="3">
        <v>0.51400000000000001</v>
      </c>
      <c r="E14" s="4">
        <v>22</v>
      </c>
      <c r="F14" s="3" t="s">
        <v>65</v>
      </c>
      <c r="G14" s="3" t="s">
        <v>66</v>
      </c>
      <c r="H14" s="5">
        <v>42865</v>
      </c>
      <c r="I14" s="4" t="s">
        <v>67</v>
      </c>
      <c r="J14" s="3">
        <v>103</v>
      </c>
      <c r="K14" s="3">
        <v>104.3</v>
      </c>
      <c r="L14" s="8">
        <v>-1.3</v>
      </c>
      <c r="M14" s="3" t="s">
        <v>50</v>
      </c>
      <c r="N14" s="5">
        <v>42801</v>
      </c>
    </row>
    <row r="15" spans="1:14" ht="15" thickBot="1">
      <c r="A15" s="7" t="s">
        <v>68</v>
      </c>
      <c r="B15" s="3">
        <v>38</v>
      </c>
      <c r="C15" s="3">
        <v>36</v>
      </c>
      <c r="D15" s="3">
        <v>0.51400000000000001</v>
      </c>
      <c r="E15" s="4">
        <v>22</v>
      </c>
      <c r="F15" s="3" t="s">
        <v>32</v>
      </c>
      <c r="G15" s="3" t="s">
        <v>69</v>
      </c>
      <c r="H15" s="5">
        <v>42983</v>
      </c>
      <c r="I15" s="4" t="s">
        <v>70</v>
      </c>
      <c r="J15" s="3">
        <v>104.6</v>
      </c>
      <c r="K15" s="3">
        <v>104.2</v>
      </c>
      <c r="L15" s="6">
        <v>0.4</v>
      </c>
      <c r="M15" s="3" t="s">
        <v>50</v>
      </c>
      <c r="N15" s="5">
        <v>42919</v>
      </c>
    </row>
    <row r="16" spans="1:14" ht="15" thickBot="1">
      <c r="A16" s="7" t="s">
        <v>71</v>
      </c>
      <c r="B16" s="3">
        <v>37</v>
      </c>
      <c r="C16" s="3">
        <v>37</v>
      </c>
      <c r="D16" s="3">
        <v>0.5</v>
      </c>
      <c r="E16" s="4">
        <v>23</v>
      </c>
      <c r="F16" s="3" t="s">
        <v>72</v>
      </c>
      <c r="G16" s="5">
        <v>43064</v>
      </c>
      <c r="H16" s="5">
        <v>42923</v>
      </c>
      <c r="I16" s="4" t="s">
        <v>73</v>
      </c>
      <c r="J16" s="3">
        <v>104.4</v>
      </c>
      <c r="K16" s="3">
        <v>105.3</v>
      </c>
      <c r="L16" s="8">
        <v>-0.9</v>
      </c>
      <c r="M16" s="3" t="s">
        <v>29</v>
      </c>
      <c r="N16" s="5">
        <v>42831</v>
      </c>
    </row>
    <row r="17" spans="1:14" ht="15" thickBot="1">
      <c r="A17" s="7" t="s">
        <v>74</v>
      </c>
      <c r="B17" s="3">
        <v>36</v>
      </c>
      <c r="C17" s="3">
        <v>38</v>
      </c>
      <c r="D17" s="3">
        <v>0.48599999999999999</v>
      </c>
      <c r="E17" s="4">
        <v>24</v>
      </c>
      <c r="F17" s="3" t="s">
        <v>75</v>
      </c>
      <c r="G17" s="3" t="s">
        <v>76</v>
      </c>
      <c r="H17" s="5">
        <v>42893</v>
      </c>
      <c r="I17" s="4" t="s">
        <v>77</v>
      </c>
      <c r="J17" s="3">
        <v>102.7</v>
      </c>
      <c r="K17" s="3">
        <v>102</v>
      </c>
      <c r="L17" s="6">
        <v>0.7</v>
      </c>
      <c r="M17" s="3" t="s">
        <v>50</v>
      </c>
      <c r="N17" s="5">
        <v>42890</v>
      </c>
    </row>
    <row r="18" spans="1:14" ht="15" thickBot="1">
      <c r="A18" s="7" t="s">
        <v>78</v>
      </c>
      <c r="B18" s="3">
        <v>36</v>
      </c>
      <c r="C18" s="3">
        <v>38</v>
      </c>
      <c r="D18" s="3">
        <v>0.48599999999999999</v>
      </c>
      <c r="E18" s="4">
        <v>24</v>
      </c>
      <c r="F18" s="3" t="s">
        <v>79</v>
      </c>
      <c r="G18" s="3" t="s">
        <v>80</v>
      </c>
      <c r="H18" s="5">
        <v>42981</v>
      </c>
      <c r="I18" s="4" t="s">
        <v>81</v>
      </c>
      <c r="J18" s="3">
        <v>108.1</v>
      </c>
      <c r="K18" s="3">
        <v>109</v>
      </c>
      <c r="L18" s="8">
        <v>-0.9</v>
      </c>
      <c r="M18" s="3" t="s">
        <v>34</v>
      </c>
      <c r="N18" s="5">
        <v>42949</v>
      </c>
    </row>
    <row r="19" spans="1:14" ht="15" thickBot="1">
      <c r="A19" s="7" t="s">
        <v>82</v>
      </c>
      <c r="B19" s="3">
        <v>35</v>
      </c>
      <c r="C19" s="3">
        <v>39</v>
      </c>
      <c r="D19" s="3">
        <v>0.47299999999999998</v>
      </c>
      <c r="E19" s="4">
        <v>25</v>
      </c>
      <c r="F19" s="3" t="s">
        <v>83</v>
      </c>
      <c r="G19" s="3" t="s">
        <v>84</v>
      </c>
      <c r="H19" s="5">
        <v>42864</v>
      </c>
      <c r="I19" s="4" t="s">
        <v>85</v>
      </c>
      <c r="J19" s="3">
        <v>111.4</v>
      </c>
      <c r="K19" s="3">
        <v>111.3</v>
      </c>
      <c r="L19" s="6">
        <v>0.1</v>
      </c>
      <c r="M19" s="3" t="s">
        <v>39</v>
      </c>
      <c r="N19" s="5">
        <v>42890</v>
      </c>
    </row>
    <row r="20" spans="1:14" ht="15" thickBot="1">
      <c r="A20" s="7" t="s">
        <v>86</v>
      </c>
      <c r="B20" s="3">
        <v>35</v>
      </c>
      <c r="C20" s="3">
        <v>39</v>
      </c>
      <c r="D20" s="3">
        <v>0.47299999999999998</v>
      </c>
      <c r="E20" s="4">
        <v>25</v>
      </c>
      <c r="F20" s="3" t="s">
        <v>75</v>
      </c>
      <c r="G20" s="3" t="s">
        <v>87</v>
      </c>
      <c r="H20" s="5">
        <v>42954</v>
      </c>
      <c r="I20" s="4" t="s">
        <v>88</v>
      </c>
      <c r="J20" s="3">
        <v>102.4</v>
      </c>
      <c r="K20" s="3">
        <v>103.4</v>
      </c>
      <c r="L20" s="8">
        <v>-0.9</v>
      </c>
      <c r="M20" s="3" t="s">
        <v>50</v>
      </c>
      <c r="N20" s="5">
        <v>42831</v>
      </c>
    </row>
    <row r="21" spans="1:14" ht="15" thickBot="1">
      <c r="A21" s="7" t="s">
        <v>89</v>
      </c>
      <c r="B21" s="3">
        <v>34</v>
      </c>
      <c r="C21" s="3">
        <v>41</v>
      </c>
      <c r="D21" s="3">
        <v>0.45300000000000001</v>
      </c>
      <c r="E21" s="4">
        <v>26.5</v>
      </c>
      <c r="F21" s="3" t="s">
        <v>90</v>
      </c>
      <c r="G21" s="5">
        <v>43065</v>
      </c>
      <c r="H21" s="5">
        <v>42865</v>
      </c>
      <c r="I21" s="4" t="s">
        <v>91</v>
      </c>
      <c r="J21" s="3">
        <v>101.1</v>
      </c>
      <c r="K21" s="3">
        <v>102.4</v>
      </c>
      <c r="L21" s="8">
        <v>-1.3</v>
      </c>
      <c r="M21" s="3" t="s">
        <v>92</v>
      </c>
      <c r="N21" s="5">
        <v>42774</v>
      </c>
    </row>
    <row r="22" spans="1:14" ht="15" thickBot="1">
      <c r="A22" s="7" t="s">
        <v>93</v>
      </c>
      <c r="B22" s="3">
        <v>33</v>
      </c>
      <c r="C22" s="3">
        <v>41</v>
      </c>
      <c r="D22" s="3">
        <v>0.44600000000000001</v>
      </c>
      <c r="E22" s="4">
        <v>27</v>
      </c>
      <c r="F22" s="3" t="s">
        <v>32</v>
      </c>
      <c r="G22" s="5">
        <v>43093</v>
      </c>
      <c r="H22" s="5">
        <v>43011</v>
      </c>
      <c r="I22" s="4" t="s">
        <v>94</v>
      </c>
      <c r="J22" s="3">
        <v>105.1</v>
      </c>
      <c r="K22" s="3">
        <v>104.4</v>
      </c>
      <c r="L22" s="6">
        <v>0.7</v>
      </c>
      <c r="M22" s="3" t="s">
        <v>29</v>
      </c>
      <c r="N22" s="5">
        <v>42860</v>
      </c>
    </row>
    <row r="23" spans="1:14" ht="15" thickBot="1">
      <c r="A23" s="7" t="s">
        <v>95</v>
      </c>
      <c r="B23" s="3">
        <v>31</v>
      </c>
      <c r="C23" s="3">
        <v>42</v>
      </c>
      <c r="D23" s="3">
        <v>0.42499999999999999</v>
      </c>
      <c r="E23" s="4">
        <v>28.5</v>
      </c>
      <c r="F23" s="3" t="s">
        <v>83</v>
      </c>
      <c r="G23" s="5">
        <v>43032</v>
      </c>
      <c r="H23" s="5">
        <v>42833</v>
      </c>
      <c r="I23" s="4" t="s">
        <v>96</v>
      </c>
      <c r="J23" s="3">
        <v>97.7</v>
      </c>
      <c r="K23" s="3">
        <v>100.1</v>
      </c>
      <c r="L23" s="8">
        <v>-2.4</v>
      </c>
      <c r="M23" s="3" t="s">
        <v>39</v>
      </c>
      <c r="N23" s="5">
        <v>42831</v>
      </c>
    </row>
    <row r="24" spans="1:14" ht="15" thickBot="1">
      <c r="A24" s="7" t="s">
        <v>97</v>
      </c>
      <c r="B24" s="3">
        <v>31</v>
      </c>
      <c r="C24" s="3">
        <v>43</v>
      </c>
      <c r="D24" s="3">
        <v>0.41899999999999998</v>
      </c>
      <c r="E24" s="4">
        <v>29</v>
      </c>
      <c r="F24" s="3" t="s">
        <v>37</v>
      </c>
      <c r="G24" s="5">
        <v>43094</v>
      </c>
      <c r="H24" s="5">
        <v>42865</v>
      </c>
      <c r="I24" s="4" t="s">
        <v>98</v>
      </c>
      <c r="J24" s="3">
        <v>103.7</v>
      </c>
      <c r="K24" s="3">
        <v>105.6</v>
      </c>
      <c r="L24" s="8">
        <v>-2</v>
      </c>
      <c r="M24" s="3" t="s">
        <v>29</v>
      </c>
      <c r="N24" s="5">
        <v>42890</v>
      </c>
    </row>
    <row r="25" spans="1:14" ht="15" thickBot="1">
      <c r="A25" s="7" t="s">
        <v>99</v>
      </c>
      <c r="B25" s="3">
        <v>29</v>
      </c>
      <c r="C25" s="3">
        <v>44</v>
      </c>
      <c r="D25" s="3">
        <v>0.39700000000000002</v>
      </c>
      <c r="E25" s="4">
        <v>30.5</v>
      </c>
      <c r="F25" s="3" t="s">
        <v>100</v>
      </c>
      <c r="G25" s="5">
        <v>43064</v>
      </c>
      <c r="H25" s="5">
        <v>42833</v>
      </c>
      <c r="I25" s="4" t="s">
        <v>101</v>
      </c>
      <c r="J25" s="3">
        <v>105</v>
      </c>
      <c r="K25" s="3">
        <v>105.9</v>
      </c>
      <c r="L25" s="8">
        <v>-0.9</v>
      </c>
      <c r="M25" s="3" t="s">
        <v>50</v>
      </c>
      <c r="N25" s="5">
        <v>42801</v>
      </c>
    </row>
    <row r="26" spans="1:14" ht="15" thickBot="1">
      <c r="A26" s="7" t="s">
        <v>102</v>
      </c>
      <c r="B26" s="3">
        <v>29</v>
      </c>
      <c r="C26" s="3">
        <v>45</v>
      </c>
      <c r="D26" s="3">
        <v>0.39200000000000002</v>
      </c>
      <c r="E26" s="4">
        <v>31</v>
      </c>
      <c r="F26" s="3" t="s">
        <v>76</v>
      </c>
      <c r="G26" s="3" t="s">
        <v>87</v>
      </c>
      <c r="H26" s="5">
        <v>42893</v>
      </c>
      <c r="I26" s="4" t="s">
        <v>96</v>
      </c>
      <c r="J26" s="3">
        <v>102.6</v>
      </c>
      <c r="K26" s="3">
        <v>106.3</v>
      </c>
      <c r="L26" s="8">
        <v>-3.7</v>
      </c>
      <c r="M26" s="3" t="s">
        <v>103</v>
      </c>
      <c r="N26" s="5">
        <v>42831</v>
      </c>
    </row>
    <row r="27" spans="1:14" ht="15" thickBot="1">
      <c r="A27" s="7" t="s">
        <v>104</v>
      </c>
      <c r="B27" s="3">
        <v>28</v>
      </c>
      <c r="C27" s="3">
        <v>46</v>
      </c>
      <c r="D27" s="3">
        <v>0.378</v>
      </c>
      <c r="E27" s="4">
        <v>32</v>
      </c>
      <c r="F27" s="3" t="s">
        <v>69</v>
      </c>
      <c r="G27" s="5">
        <v>43066</v>
      </c>
      <c r="H27" s="5">
        <v>42922</v>
      </c>
      <c r="I27" s="4" t="s">
        <v>105</v>
      </c>
      <c r="J27" s="3">
        <v>102.5</v>
      </c>
      <c r="K27" s="3">
        <v>107.6</v>
      </c>
      <c r="L27" s="8">
        <v>-5.2</v>
      </c>
      <c r="M27" s="3" t="s">
        <v>50</v>
      </c>
      <c r="N27" s="5">
        <v>42860</v>
      </c>
    </row>
    <row r="28" spans="1:14" ht="15" thickBot="1">
      <c r="A28" s="7" t="s">
        <v>106</v>
      </c>
      <c r="B28" s="3">
        <v>28</v>
      </c>
      <c r="C28" s="3">
        <v>46</v>
      </c>
      <c r="D28" s="3">
        <v>0.378</v>
      </c>
      <c r="E28" s="4">
        <v>32</v>
      </c>
      <c r="F28" s="3" t="s">
        <v>41</v>
      </c>
      <c r="G28" s="5">
        <v>43067</v>
      </c>
      <c r="H28" s="5">
        <v>42834</v>
      </c>
      <c r="I28" s="4" t="s">
        <v>107</v>
      </c>
      <c r="J28" s="3">
        <v>105.1</v>
      </c>
      <c r="K28" s="3">
        <v>108.5</v>
      </c>
      <c r="L28" s="8">
        <v>-3.4</v>
      </c>
      <c r="M28" s="3" t="s">
        <v>50</v>
      </c>
      <c r="N28" s="5">
        <v>42774</v>
      </c>
    </row>
    <row r="29" spans="1:14" ht="15" thickBot="1">
      <c r="A29" s="2" t="s">
        <v>108</v>
      </c>
      <c r="B29" s="3">
        <v>27</v>
      </c>
      <c r="C29" s="3">
        <v>47</v>
      </c>
      <c r="D29" s="3">
        <v>0.36499999999999999</v>
      </c>
      <c r="E29" s="4">
        <v>33</v>
      </c>
      <c r="F29" s="3" t="s">
        <v>87</v>
      </c>
      <c r="G29" s="3" t="s">
        <v>109</v>
      </c>
      <c r="H29" s="5">
        <v>42925</v>
      </c>
      <c r="I29" s="4" t="s">
        <v>110</v>
      </c>
      <c r="J29" s="3">
        <v>100.5</v>
      </c>
      <c r="K29" s="3">
        <v>106.6</v>
      </c>
      <c r="L29" s="8">
        <v>-6.1</v>
      </c>
      <c r="M29" s="3" t="s">
        <v>29</v>
      </c>
      <c r="N29" s="5">
        <v>42831</v>
      </c>
    </row>
    <row r="30" spans="1:14" ht="15" thickBot="1">
      <c r="A30" s="2" t="s">
        <v>111</v>
      </c>
      <c r="B30" s="3">
        <v>22</v>
      </c>
      <c r="C30" s="3">
        <v>53</v>
      </c>
      <c r="D30" s="3">
        <v>0.29299999999999998</v>
      </c>
      <c r="E30" s="4">
        <v>38.5</v>
      </c>
      <c r="F30" s="3" t="s">
        <v>112</v>
      </c>
      <c r="G30" s="5">
        <v>43008</v>
      </c>
      <c r="H30" s="5">
        <v>42804</v>
      </c>
      <c r="I30" s="9">
        <v>13394</v>
      </c>
      <c r="J30" s="3">
        <v>106.9</v>
      </c>
      <c r="K30" s="3">
        <v>112.8</v>
      </c>
      <c r="L30" s="8">
        <v>-5.8</v>
      </c>
      <c r="M30" s="3" t="s">
        <v>113</v>
      </c>
      <c r="N30" s="5">
        <v>42744</v>
      </c>
    </row>
    <row r="31" spans="1:14" ht="15" thickBot="1">
      <c r="A31" s="2" t="s">
        <v>114</v>
      </c>
      <c r="B31" s="3">
        <v>21</v>
      </c>
      <c r="C31" s="3">
        <v>53</v>
      </c>
      <c r="D31" s="3">
        <v>0.28399999999999997</v>
      </c>
      <c r="E31" s="4">
        <v>39</v>
      </c>
      <c r="F31" s="3" t="s">
        <v>109</v>
      </c>
      <c r="G31" s="5">
        <v>42976</v>
      </c>
      <c r="H31" s="5">
        <v>42863</v>
      </c>
      <c r="I31" s="9">
        <v>12359</v>
      </c>
      <c r="J31" s="3">
        <v>104.7</v>
      </c>
      <c r="K31" s="3">
        <v>112.1</v>
      </c>
      <c r="L31" s="8">
        <v>-7.5</v>
      </c>
      <c r="M31" s="3" t="s">
        <v>39</v>
      </c>
      <c r="N31" s="5">
        <v>42774</v>
      </c>
    </row>
    <row r="32" spans="1:14">
      <c r="A32" s="2" t="s">
        <v>115</v>
      </c>
      <c r="B32" s="3">
        <v>16</v>
      </c>
      <c r="C32" s="3">
        <v>58</v>
      </c>
      <c r="D32" s="3">
        <v>0.216</v>
      </c>
      <c r="E32" s="4">
        <v>44</v>
      </c>
      <c r="F32" s="5">
        <v>43036</v>
      </c>
      <c r="G32" s="5">
        <v>42916</v>
      </c>
      <c r="H32" s="5">
        <v>42778</v>
      </c>
      <c r="I32" s="9">
        <v>13697</v>
      </c>
      <c r="J32" s="3">
        <v>105.9</v>
      </c>
      <c r="K32" s="3">
        <v>113.2</v>
      </c>
      <c r="L32" s="8">
        <v>-7.3</v>
      </c>
      <c r="M32" s="3" t="s">
        <v>29</v>
      </c>
      <c r="N32" s="5">
        <v>42860</v>
      </c>
    </row>
  </sheetData>
  <hyperlinks>
    <hyperlink ref="B2" r:id="rId1" display="http://www.espn.com/nba/standings/_/sort/wins/group/league" xr:uid="{00000000-0004-0000-0300-000000000000}"/>
    <hyperlink ref="C2" r:id="rId2" display="http://www.espn.com/nba/standings/_/sort/losses/group/league" xr:uid="{00000000-0004-0000-0300-000001000000}"/>
    <hyperlink ref="D2" r:id="rId3" display="http://www.espn.com/nba/standings/_/dir/asc/group/league" xr:uid="{00000000-0004-0000-0300-000002000000}"/>
    <hyperlink ref="E2" r:id="rId4" display="http://www.espn.com/nba/standings/_/sort/gamesbehind/group/league" xr:uid="{00000000-0004-0000-0300-000003000000}"/>
    <hyperlink ref="J2" r:id="rId5" display="http://www.espn.com/nba/standings/_/sort/avgpointsfor/group/league" xr:uid="{00000000-0004-0000-0300-000004000000}"/>
    <hyperlink ref="K2" r:id="rId6" display="http://www.espn.com/nba/standings/_/sort/avgpointsagainst/group/league" xr:uid="{00000000-0004-0000-0300-000005000000}"/>
    <hyperlink ref="L2" r:id="rId7" display="http://www.espn.com/nba/standings/_/sort/differential/group/league" xr:uid="{00000000-0004-0000-0300-000006000000}"/>
    <hyperlink ref="M2" r:id="rId8" display="http://www.espn.com/nba/standings/_/sort/streak/group/league" xr:uid="{00000000-0004-0000-0300-000007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AA40"/>
  <sheetViews>
    <sheetView topLeftCell="S1" workbookViewId="0">
      <selection activeCell="V4" sqref="V4"/>
    </sheetView>
  </sheetViews>
  <sheetFormatPr defaultRowHeight="14.5"/>
  <cols>
    <col min="1" max="1" width="2.6328125" bestFit="1" customWidth="1"/>
    <col min="2" max="2" width="13.26953125"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4.90625" customWidth="1"/>
    <col min="20" max="20" width="20.7265625" customWidth="1"/>
    <col min="21" max="21" width="23.1796875" customWidth="1"/>
    <col min="22" max="22" width="22.453125" customWidth="1"/>
    <col min="23" max="23" width="23.7265625" customWidth="1"/>
    <col min="24" max="24" width="19.81640625" customWidth="1"/>
    <col min="25" max="25" width="23.6328125" customWidth="1"/>
    <col min="26" max="26" width="21.81640625" customWidth="1"/>
    <col min="27" max="27" width="25.26953125" customWidth="1"/>
  </cols>
  <sheetData>
    <row r="1" spans="1:27">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c r="S1" t="s">
        <v>273</v>
      </c>
      <c r="T1" t="s">
        <v>274</v>
      </c>
      <c r="U1" t="s">
        <v>276</v>
      </c>
      <c r="V1" t="s">
        <v>274</v>
      </c>
      <c r="W1" t="s">
        <v>276</v>
      </c>
      <c r="X1" t="s">
        <v>278</v>
      </c>
      <c r="Y1" t="s">
        <v>279</v>
      </c>
      <c r="Z1" t="s">
        <v>280</v>
      </c>
      <c r="AA1" t="s">
        <v>281</v>
      </c>
    </row>
    <row r="2" spans="1:27">
      <c r="A2">
        <v>1</v>
      </c>
      <c r="B2" s="68">
        <v>43390</v>
      </c>
      <c r="C2" t="s">
        <v>243</v>
      </c>
      <c r="D2" t="s">
        <v>248</v>
      </c>
      <c r="E2">
        <v>29</v>
      </c>
      <c r="F2">
        <v>24</v>
      </c>
      <c r="G2">
        <v>51</v>
      </c>
      <c r="H2">
        <v>51</v>
      </c>
      <c r="I2">
        <v>76</v>
      </c>
      <c r="J2">
        <v>83</v>
      </c>
      <c r="K2">
        <v>100</v>
      </c>
      <c r="L2">
        <v>103</v>
      </c>
      <c r="M2">
        <v>100</v>
      </c>
      <c r="N2">
        <v>103</v>
      </c>
      <c r="Q2">
        <f>M2-G2</f>
        <v>49</v>
      </c>
      <c r="R2">
        <f>N2-H2</f>
        <v>52</v>
      </c>
      <c r="S2">
        <f>G2-H2</f>
        <v>0</v>
      </c>
      <c r="T2" t="s">
        <v>275</v>
      </c>
      <c r="U2" t="s">
        <v>275</v>
      </c>
      <c r="V2" t="s">
        <v>291</v>
      </c>
      <c r="W2" t="s">
        <v>291</v>
      </c>
      <c r="X2">
        <f>AVERAGE(M2:M19)</f>
        <v>106.16666666666667</v>
      </c>
      <c r="Y2">
        <f>AVERAGE(N2:N19)</f>
        <v>108.22222222222223</v>
      </c>
      <c r="Z2">
        <f>AVERAGE(G2:G19)</f>
        <v>50.444444444444443</v>
      </c>
      <c r="AA2">
        <f>AVERAGE(H2:H19)</f>
        <v>52.611111111111114</v>
      </c>
    </row>
    <row r="3" spans="1:27">
      <c r="A3">
        <v>3</v>
      </c>
      <c r="B3" s="68">
        <v>43393</v>
      </c>
      <c r="C3" t="s">
        <v>243</v>
      </c>
      <c r="D3" t="s">
        <v>250</v>
      </c>
      <c r="E3">
        <v>29</v>
      </c>
      <c r="F3">
        <v>33</v>
      </c>
      <c r="G3">
        <v>58</v>
      </c>
      <c r="H3">
        <v>67</v>
      </c>
      <c r="I3">
        <v>85</v>
      </c>
      <c r="J3">
        <v>95</v>
      </c>
      <c r="K3">
        <v>112</v>
      </c>
      <c r="L3">
        <v>132</v>
      </c>
      <c r="M3">
        <v>112</v>
      </c>
      <c r="N3">
        <v>132</v>
      </c>
      <c r="Q3">
        <f t="shared" ref="Q3:Q19" si="0">M3-G3</f>
        <v>54</v>
      </c>
      <c r="R3">
        <f t="shared" ref="R3:R19" si="1">N3-H3</f>
        <v>65</v>
      </c>
      <c r="S3">
        <f t="shared" ref="S3:S19" si="2">G3-H3</f>
        <v>-9</v>
      </c>
      <c r="T3">
        <f>AVERAGEIF(S2:S19,"&gt;0",Q2:Q19)</f>
        <v>57</v>
      </c>
      <c r="U3">
        <f>AVERAGEIF(S2:S19,"&gt;0",R2:R19)</f>
        <v>56.285714285714285</v>
      </c>
      <c r="V3">
        <f>AVERAGEIF(S2:S19,"&lt;0",Q2:Q19)</f>
        <v>55.333333333333336</v>
      </c>
      <c r="W3">
        <f>AVERAGEIF(S2:S19,"&lt;0",R2:R19)</f>
        <v>57.111111111111114</v>
      </c>
    </row>
    <row r="4" spans="1:27">
      <c r="A4">
        <v>4</v>
      </c>
      <c r="B4" s="68">
        <v>43397</v>
      </c>
      <c r="C4" t="s">
        <v>243</v>
      </c>
      <c r="D4" t="s">
        <v>255</v>
      </c>
      <c r="E4">
        <v>24</v>
      </c>
      <c r="F4">
        <v>17</v>
      </c>
      <c r="G4">
        <v>45</v>
      </c>
      <c r="H4">
        <v>45</v>
      </c>
      <c r="I4">
        <v>83</v>
      </c>
      <c r="J4">
        <v>62</v>
      </c>
      <c r="K4">
        <v>102</v>
      </c>
      <c r="L4">
        <v>86</v>
      </c>
      <c r="M4">
        <v>102</v>
      </c>
      <c r="N4">
        <v>86</v>
      </c>
      <c r="Q4">
        <f t="shared" si="0"/>
        <v>57</v>
      </c>
      <c r="R4">
        <f t="shared" si="1"/>
        <v>41</v>
      </c>
      <c r="S4">
        <f t="shared" si="2"/>
        <v>0</v>
      </c>
    </row>
    <row r="5" spans="1:27">
      <c r="A5">
        <v>5</v>
      </c>
      <c r="B5" s="68">
        <v>43399</v>
      </c>
      <c r="C5" t="s">
        <v>243</v>
      </c>
      <c r="D5" t="s">
        <v>257</v>
      </c>
      <c r="E5">
        <v>30</v>
      </c>
      <c r="F5">
        <v>32</v>
      </c>
      <c r="G5">
        <v>66</v>
      </c>
      <c r="H5">
        <v>57</v>
      </c>
      <c r="I5">
        <v>91</v>
      </c>
      <c r="J5">
        <v>88</v>
      </c>
      <c r="K5">
        <v>115</v>
      </c>
      <c r="L5">
        <v>117</v>
      </c>
      <c r="M5">
        <v>115</v>
      </c>
      <c r="N5">
        <v>117</v>
      </c>
      <c r="Q5">
        <f t="shared" si="0"/>
        <v>49</v>
      </c>
      <c r="R5">
        <f t="shared" si="1"/>
        <v>60</v>
      </c>
      <c r="S5">
        <f t="shared" si="2"/>
        <v>9</v>
      </c>
    </row>
    <row r="6" spans="1:27">
      <c r="A6">
        <v>7</v>
      </c>
      <c r="B6" s="68">
        <v>43402</v>
      </c>
      <c r="C6" t="s">
        <v>243</v>
      </c>
      <c r="D6" t="s">
        <v>254</v>
      </c>
      <c r="E6">
        <v>26</v>
      </c>
      <c r="F6">
        <v>26</v>
      </c>
      <c r="G6">
        <v>44</v>
      </c>
      <c r="H6">
        <v>52</v>
      </c>
      <c r="I6">
        <v>67</v>
      </c>
      <c r="J6">
        <v>85</v>
      </c>
      <c r="K6">
        <v>96</v>
      </c>
      <c r="L6">
        <v>115</v>
      </c>
      <c r="M6">
        <v>96</v>
      </c>
      <c r="N6">
        <v>115</v>
      </c>
      <c r="Q6">
        <f t="shared" si="0"/>
        <v>52</v>
      </c>
      <c r="R6">
        <f t="shared" si="1"/>
        <v>63</v>
      </c>
      <c r="S6">
        <f t="shared" si="2"/>
        <v>-8</v>
      </c>
    </row>
    <row r="7" spans="1:27">
      <c r="A7">
        <v>11</v>
      </c>
      <c r="B7" s="68">
        <v>43410</v>
      </c>
      <c r="C7" t="s">
        <v>243</v>
      </c>
      <c r="D7" t="s">
        <v>266</v>
      </c>
      <c r="E7">
        <v>24</v>
      </c>
      <c r="F7">
        <v>22</v>
      </c>
      <c r="G7">
        <v>52</v>
      </c>
      <c r="H7">
        <v>42</v>
      </c>
      <c r="I7">
        <v>76</v>
      </c>
      <c r="J7">
        <v>66</v>
      </c>
      <c r="K7">
        <v>104</v>
      </c>
      <c r="L7">
        <v>82</v>
      </c>
      <c r="M7">
        <v>104</v>
      </c>
      <c r="N7">
        <v>82</v>
      </c>
      <c r="Q7">
        <f t="shared" si="0"/>
        <v>52</v>
      </c>
      <c r="R7">
        <f t="shared" si="1"/>
        <v>40</v>
      </c>
      <c r="S7">
        <f t="shared" si="2"/>
        <v>10</v>
      </c>
    </row>
    <row r="8" spans="1:27">
      <c r="A8">
        <v>12</v>
      </c>
      <c r="B8" s="68">
        <v>43413</v>
      </c>
      <c r="C8" t="s">
        <v>243</v>
      </c>
      <c r="D8" t="s">
        <v>263</v>
      </c>
      <c r="E8">
        <v>34</v>
      </c>
      <c r="F8">
        <v>24</v>
      </c>
      <c r="G8">
        <v>55</v>
      </c>
      <c r="H8">
        <v>47</v>
      </c>
      <c r="I8">
        <v>82</v>
      </c>
      <c r="J8">
        <v>76</v>
      </c>
      <c r="K8">
        <v>112</v>
      </c>
      <c r="L8">
        <v>110</v>
      </c>
      <c r="M8">
        <v>112</v>
      </c>
      <c r="N8">
        <v>110</v>
      </c>
      <c r="Q8">
        <f t="shared" si="0"/>
        <v>57</v>
      </c>
      <c r="R8">
        <f t="shared" si="1"/>
        <v>63</v>
      </c>
      <c r="S8">
        <f t="shared" si="2"/>
        <v>8</v>
      </c>
    </row>
    <row r="9" spans="1:27">
      <c r="A9">
        <v>13</v>
      </c>
      <c r="B9" s="68">
        <v>43414</v>
      </c>
      <c r="C9" t="s">
        <v>243</v>
      </c>
      <c r="D9" t="s">
        <v>242</v>
      </c>
      <c r="E9">
        <v>30</v>
      </c>
      <c r="F9">
        <v>36</v>
      </c>
      <c r="G9">
        <v>53</v>
      </c>
      <c r="H9">
        <v>65</v>
      </c>
      <c r="I9">
        <v>74</v>
      </c>
      <c r="J9">
        <v>94</v>
      </c>
      <c r="K9">
        <v>100</v>
      </c>
      <c r="L9">
        <v>116</v>
      </c>
      <c r="M9">
        <v>100</v>
      </c>
      <c r="N9">
        <v>116</v>
      </c>
      <c r="Q9">
        <f t="shared" si="0"/>
        <v>47</v>
      </c>
      <c r="R9">
        <f t="shared" si="1"/>
        <v>51</v>
      </c>
      <c r="S9">
        <f t="shared" si="2"/>
        <v>-12</v>
      </c>
    </row>
    <row r="10" spans="1:27">
      <c r="A10">
        <v>14</v>
      </c>
      <c r="B10" s="68">
        <v>43416</v>
      </c>
      <c r="C10" t="s">
        <v>243</v>
      </c>
      <c r="D10" t="s">
        <v>259</v>
      </c>
      <c r="E10">
        <v>31</v>
      </c>
      <c r="F10">
        <v>30</v>
      </c>
      <c r="G10">
        <v>53</v>
      </c>
      <c r="H10">
        <v>57</v>
      </c>
      <c r="I10">
        <v>85</v>
      </c>
      <c r="J10">
        <v>93</v>
      </c>
      <c r="K10">
        <v>113</v>
      </c>
      <c r="L10">
        <v>120</v>
      </c>
      <c r="M10">
        <v>113</v>
      </c>
      <c r="N10">
        <v>120</v>
      </c>
      <c r="Q10">
        <f t="shared" si="0"/>
        <v>60</v>
      </c>
      <c r="R10">
        <f t="shared" si="1"/>
        <v>63</v>
      </c>
      <c r="S10">
        <f t="shared" si="2"/>
        <v>-4</v>
      </c>
    </row>
    <row r="11" spans="1:27">
      <c r="A11">
        <v>16</v>
      </c>
      <c r="B11" s="68">
        <v>43420</v>
      </c>
      <c r="C11" t="s">
        <v>243</v>
      </c>
      <c r="D11" t="s">
        <v>268</v>
      </c>
      <c r="E11">
        <v>26</v>
      </c>
      <c r="F11">
        <v>30</v>
      </c>
      <c r="G11">
        <v>56</v>
      </c>
      <c r="H11">
        <v>54</v>
      </c>
      <c r="I11">
        <v>91</v>
      </c>
      <c r="J11">
        <v>79</v>
      </c>
      <c r="K11">
        <v>115</v>
      </c>
      <c r="L11">
        <v>104</v>
      </c>
      <c r="M11">
        <v>115</v>
      </c>
      <c r="N11">
        <v>104</v>
      </c>
      <c r="Q11">
        <f t="shared" si="0"/>
        <v>59</v>
      </c>
      <c r="R11">
        <f t="shared" si="1"/>
        <v>50</v>
      </c>
      <c r="S11">
        <f t="shared" si="2"/>
        <v>2</v>
      </c>
    </row>
    <row r="12" spans="1:27">
      <c r="A12">
        <v>18</v>
      </c>
      <c r="B12" s="68">
        <v>43424</v>
      </c>
      <c r="C12" t="s">
        <v>243</v>
      </c>
      <c r="D12" t="s">
        <v>251</v>
      </c>
      <c r="E12">
        <v>20</v>
      </c>
      <c r="F12">
        <v>13</v>
      </c>
      <c r="G12">
        <v>39</v>
      </c>
      <c r="H12">
        <v>42</v>
      </c>
      <c r="I12">
        <v>74</v>
      </c>
      <c r="J12">
        <v>77</v>
      </c>
      <c r="K12">
        <v>104</v>
      </c>
      <c r="L12">
        <v>92</v>
      </c>
      <c r="M12">
        <v>104</v>
      </c>
      <c r="N12">
        <v>92</v>
      </c>
      <c r="Q12">
        <f t="shared" si="0"/>
        <v>65</v>
      </c>
      <c r="R12">
        <f t="shared" si="1"/>
        <v>50</v>
      </c>
      <c r="S12">
        <f t="shared" si="2"/>
        <v>-3</v>
      </c>
    </row>
    <row r="13" spans="1:27">
      <c r="A13">
        <v>19</v>
      </c>
      <c r="B13" s="68">
        <v>43425</v>
      </c>
      <c r="C13" t="s">
        <v>243</v>
      </c>
      <c r="D13" t="s">
        <v>265</v>
      </c>
      <c r="E13">
        <v>32</v>
      </c>
      <c r="F13">
        <v>34</v>
      </c>
      <c r="G13">
        <v>50</v>
      </c>
      <c r="H13">
        <v>61</v>
      </c>
      <c r="I13">
        <v>81</v>
      </c>
      <c r="J13">
        <v>85</v>
      </c>
      <c r="K13">
        <v>113</v>
      </c>
      <c r="L13">
        <v>119</v>
      </c>
      <c r="M13">
        <v>113</v>
      </c>
      <c r="N13">
        <v>119</v>
      </c>
      <c r="Q13">
        <f t="shared" si="0"/>
        <v>63</v>
      </c>
      <c r="R13">
        <f t="shared" si="1"/>
        <v>58</v>
      </c>
      <c r="S13">
        <f t="shared" si="2"/>
        <v>-11</v>
      </c>
    </row>
    <row r="14" spans="1:27">
      <c r="A14">
        <v>24</v>
      </c>
      <c r="B14" s="68">
        <v>43435</v>
      </c>
      <c r="C14" t="s">
        <v>243</v>
      </c>
      <c r="D14" t="s">
        <v>268</v>
      </c>
      <c r="E14">
        <v>19</v>
      </c>
      <c r="F14">
        <v>24</v>
      </c>
      <c r="G14">
        <v>39</v>
      </c>
      <c r="H14">
        <v>42</v>
      </c>
      <c r="I14">
        <v>58</v>
      </c>
      <c r="J14">
        <v>68</v>
      </c>
      <c r="K14">
        <v>88</v>
      </c>
      <c r="L14">
        <v>102</v>
      </c>
      <c r="M14">
        <v>88</v>
      </c>
      <c r="N14">
        <v>102</v>
      </c>
      <c r="Q14">
        <f t="shared" si="0"/>
        <v>49</v>
      </c>
      <c r="R14">
        <f t="shared" si="1"/>
        <v>60</v>
      </c>
      <c r="S14">
        <f t="shared" si="2"/>
        <v>-3</v>
      </c>
    </row>
    <row r="15" spans="1:27">
      <c r="A15">
        <v>28</v>
      </c>
      <c r="B15" s="68">
        <v>43442</v>
      </c>
      <c r="C15" t="s">
        <v>243</v>
      </c>
      <c r="D15" t="s">
        <v>254</v>
      </c>
      <c r="E15">
        <v>30</v>
      </c>
      <c r="F15">
        <v>23</v>
      </c>
      <c r="G15">
        <v>56</v>
      </c>
      <c r="H15">
        <v>45</v>
      </c>
      <c r="I15">
        <v>94</v>
      </c>
      <c r="J15">
        <v>77</v>
      </c>
      <c r="K15">
        <v>112</v>
      </c>
      <c r="L15">
        <v>104</v>
      </c>
      <c r="M15">
        <v>112</v>
      </c>
      <c r="N15">
        <v>104</v>
      </c>
      <c r="Q15">
        <f t="shared" si="0"/>
        <v>56</v>
      </c>
      <c r="R15">
        <f t="shared" si="1"/>
        <v>59</v>
      </c>
      <c r="S15">
        <f t="shared" si="2"/>
        <v>11</v>
      </c>
    </row>
    <row r="16" spans="1:27">
      <c r="A16">
        <v>29</v>
      </c>
      <c r="B16" s="68">
        <v>43446</v>
      </c>
      <c r="C16" t="s">
        <v>243</v>
      </c>
      <c r="D16" t="s">
        <v>239</v>
      </c>
      <c r="E16">
        <v>31</v>
      </c>
      <c r="F16">
        <v>29</v>
      </c>
      <c r="G16">
        <v>57</v>
      </c>
      <c r="H16">
        <v>56</v>
      </c>
      <c r="I16">
        <v>94</v>
      </c>
      <c r="J16">
        <v>84</v>
      </c>
      <c r="K16">
        <v>127</v>
      </c>
      <c r="L16">
        <v>124</v>
      </c>
      <c r="M16">
        <v>127</v>
      </c>
      <c r="N16">
        <v>124</v>
      </c>
      <c r="Q16">
        <f t="shared" si="0"/>
        <v>70</v>
      </c>
      <c r="R16">
        <f t="shared" si="1"/>
        <v>68</v>
      </c>
      <c r="S16">
        <f t="shared" si="2"/>
        <v>1</v>
      </c>
    </row>
    <row r="17" spans="1:19">
      <c r="A17">
        <v>33</v>
      </c>
      <c r="B17" s="68">
        <v>43453</v>
      </c>
      <c r="C17" t="s">
        <v>243</v>
      </c>
      <c r="D17" t="s">
        <v>267</v>
      </c>
      <c r="E17">
        <v>22</v>
      </c>
      <c r="F17">
        <v>27</v>
      </c>
      <c r="G17">
        <v>40</v>
      </c>
      <c r="H17">
        <v>39</v>
      </c>
      <c r="I17">
        <v>71</v>
      </c>
      <c r="J17">
        <v>71</v>
      </c>
      <c r="K17">
        <v>96</v>
      </c>
      <c r="L17">
        <v>93</v>
      </c>
      <c r="M17">
        <v>96</v>
      </c>
      <c r="N17">
        <v>93</v>
      </c>
      <c r="Q17">
        <f t="shared" si="0"/>
        <v>56</v>
      </c>
      <c r="R17">
        <f t="shared" si="1"/>
        <v>54</v>
      </c>
      <c r="S17">
        <f t="shared" si="2"/>
        <v>1</v>
      </c>
    </row>
    <row r="18" spans="1:19">
      <c r="A18">
        <v>37</v>
      </c>
      <c r="B18" s="68">
        <v>43462</v>
      </c>
      <c r="C18" t="s">
        <v>243</v>
      </c>
      <c r="D18" t="s">
        <v>246</v>
      </c>
      <c r="E18">
        <v>17</v>
      </c>
      <c r="F18">
        <v>33</v>
      </c>
      <c r="G18">
        <v>42</v>
      </c>
      <c r="H18">
        <v>54</v>
      </c>
      <c r="I18">
        <v>65</v>
      </c>
      <c r="J18">
        <v>73</v>
      </c>
      <c r="K18">
        <v>87</v>
      </c>
      <c r="L18">
        <v>100</v>
      </c>
      <c r="M18">
        <v>87</v>
      </c>
      <c r="N18">
        <v>100</v>
      </c>
      <c r="Q18">
        <f t="shared" si="0"/>
        <v>45</v>
      </c>
      <c r="R18">
        <f t="shared" si="1"/>
        <v>46</v>
      </c>
      <c r="S18">
        <f t="shared" si="2"/>
        <v>-12</v>
      </c>
    </row>
    <row r="19" spans="1:19">
      <c r="A19">
        <v>38</v>
      </c>
      <c r="B19" s="68">
        <v>43463</v>
      </c>
      <c r="C19" t="s">
        <v>243</v>
      </c>
      <c r="D19" t="s">
        <v>245</v>
      </c>
      <c r="E19">
        <v>23</v>
      </c>
      <c r="F19">
        <v>29</v>
      </c>
      <c r="G19">
        <v>52</v>
      </c>
      <c r="H19">
        <v>71</v>
      </c>
      <c r="I19">
        <v>86</v>
      </c>
      <c r="J19">
        <v>106</v>
      </c>
      <c r="K19">
        <v>115</v>
      </c>
      <c r="L19">
        <v>129</v>
      </c>
      <c r="M19">
        <v>115</v>
      </c>
      <c r="N19">
        <v>129</v>
      </c>
      <c r="Q19">
        <f t="shared" si="0"/>
        <v>63</v>
      </c>
      <c r="R19">
        <f t="shared" si="1"/>
        <v>58</v>
      </c>
      <c r="S19">
        <f t="shared" si="2"/>
        <v>-19</v>
      </c>
    </row>
    <row r="20" spans="1:19">
      <c r="A20">
        <v>2</v>
      </c>
      <c r="B20" s="68">
        <v>43392</v>
      </c>
      <c r="C20" t="s">
        <v>244</v>
      </c>
      <c r="D20" t="s">
        <v>254</v>
      </c>
      <c r="E20">
        <v>33</v>
      </c>
      <c r="F20">
        <v>24</v>
      </c>
      <c r="G20">
        <v>57</v>
      </c>
      <c r="H20">
        <v>50</v>
      </c>
      <c r="I20">
        <v>74</v>
      </c>
      <c r="J20">
        <v>76</v>
      </c>
      <c r="K20">
        <v>107</v>
      </c>
      <c r="L20">
        <v>105</v>
      </c>
      <c r="M20">
        <v>107</v>
      </c>
      <c r="N20">
        <v>105</v>
      </c>
    </row>
    <row r="21" spans="1:19">
      <c r="A21">
        <v>6</v>
      </c>
      <c r="B21" s="68">
        <v>43401</v>
      </c>
      <c r="C21" t="s">
        <v>244</v>
      </c>
      <c r="D21" t="s">
        <v>242</v>
      </c>
      <c r="E21">
        <v>29</v>
      </c>
      <c r="F21">
        <v>32</v>
      </c>
      <c r="G21">
        <v>49</v>
      </c>
      <c r="H21">
        <v>63</v>
      </c>
      <c r="I21">
        <v>77</v>
      </c>
      <c r="J21">
        <v>93</v>
      </c>
      <c r="K21">
        <v>114</v>
      </c>
      <c r="L21">
        <v>120</v>
      </c>
      <c r="M21">
        <v>114</v>
      </c>
      <c r="N21">
        <v>120</v>
      </c>
    </row>
    <row r="22" spans="1:19">
      <c r="A22">
        <v>8</v>
      </c>
      <c r="B22" s="68">
        <v>43404</v>
      </c>
      <c r="C22" t="s">
        <v>244</v>
      </c>
      <c r="D22" t="s">
        <v>248</v>
      </c>
      <c r="E22">
        <v>28</v>
      </c>
      <c r="F22">
        <v>22</v>
      </c>
      <c r="G22">
        <v>54</v>
      </c>
      <c r="H22">
        <v>60</v>
      </c>
      <c r="I22">
        <v>77</v>
      </c>
      <c r="J22">
        <v>83</v>
      </c>
      <c r="K22">
        <v>110</v>
      </c>
      <c r="L22">
        <v>110</v>
      </c>
      <c r="M22">
        <v>120</v>
      </c>
      <c r="N22">
        <v>119</v>
      </c>
      <c r="O22">
        <v>120</v>
      </c>
      <c r="P22">
        <v>119</v>
      </c>
    </row>
    <row r="23" spans="1:19">
      <c r="A23">
        <v>9</v>
      </c>
      <c r="B23" s="68">
        <v>43406</v>
      </c>
      <c r="C23" t="s">
        <v>244</v>
      </c>
      <c r="D23" t="s">
        <v>258</v>
      </c>
      <c r="E23">
        <v>32</v>
      </c>
      <c r="F23">
        <v>25</v>
      </c>
      <c r="G23">
        <v>61</v>
      </c>
      <c r="H23">
        <v>56</v>
      </c>
      <c r="I23">
        <v>86</v>
      </c>
      <c r="J23">
        <v>91</v>
      </c>
      <c r="K23">
        <v>111</v>
      </c>
      <c r="L23">
        <v>119</v>
      </c>
      <c r="M23">
        <v>111</v>
      </c>
      <c r="N23">
        <v>119</v>
      </c>
    </row>
    <row r="24" spans="1:19">
      <c r="A24">
        <v>10</v>
      </c>
      <c r="B24" s="68">
        <v>43408</v>
      </c>
      <c r="C24" t="s">
        <v>244</v>
      </c>
      <c r="D24" t="s">
        <v>239</v>
      </c>
      <c r="E24">
        <v>18</v>
      </c>
      <c r="F24">
        <v>21</v>
      </c>
      <c r="G24">
        <v>51</v>
      </c>
      <c r="H24">
        <v>47</v>
      </c>
      <c r="I24">
        <v>92</v>
      </c>
      <c r="J24">
        <v>75</v>
      </c>
      <c r="K24">
        <v>122</v>
      </c>
      <c r="L24">
        <v>97</v>
      </c>
      <c r="M24">
        <v>122</v>
      </c>
      <c r="N24">
        <v>97</v>
      </c>
    </row>
    <row r="25" spans="1:19">
      <c r="A25">
        <v>15</v>
      </c>
      <c r="B25" s="68">
        <v>43418</v>
      </c>
      <c r="C25" t="s">
        <v>244</v>
      </c>
      <c r="D25" t="s">
        <v>251</v>
      </c>
      <c r="E25">
        <v>21</v>
      </c>
      <c r="F25">
        <v>37</v>
      </c>
      <c r="G25">
        <v>49</v>
      </c>
      <c r="H25">
        <v>61</v>
      </c>
      <c r="I25">
        <v>72</v>
      </c>
      <c r="J25">
        <v>90</v>
      </c>
      <c r="K25">
        <v>107</v>
      </c>
      <c r="L25">
        <v>120</v>
      </c>
      <c r="M25">
        <v>107</v>
      </c>
      <c r="N25">
        <v>120</v>
      </c>
    </row>
    <row r="26" spans="1:19">
      <c r="A26">
        <v>17</v>
      </c>
      <c r="B26" s="68">
        <v>43421</v>
      </c>
      <c r="C26" t="s">
        <v>244</v>
      </c>
      <c r="D26" t="s">
        <v>264</v>
      </c>
      <c r="E26">
        <v>37</v>
      </c>
      <c r="F26">
        <v>32</v>
      </c>
      <c r="G26">
        <v>67</v>
      </c>
      <c r="H26">
        <v>60</v>
      </c>
      <c r="I26">
        <v>97</v>
      </c>
      <c r="J26">
        <v>90</v>
      </c>
      <c r="K26">
        <v>119</v>
      </c>
      <c r="L26">
        <v>127</v>
      </c>
      <c r="M26">
        <v>119</v>
      </c>
      <c r="N26">
        <v>127</v>
      </c>
    </row>
    <row r="27" spans="1:19">
      <c r="A27">
        <v>20</v>
      </c>
      <c r="B27" s="68">
        <v>43427</v>
      </c>
      <c r="C27" t="s">
        <v>244</v>
      </c>
      <c r="D27" t="s">
        <v>259</v>
      </c>
      <c r="E27">
        <v>26</v>
      </c>
      <c r="F27">
        <v>22</v>
      </c>
      <c r="G27">
        <v>49</v>
      </c>
      <c r="H27">
        <v>54</v>
      </c>
      <c r="I27">
        <v>72</v>
      </c>
      <c r="J27">
        <v>89</v>
      </c>
      <c r="K27">
        <v>102</v>
      </c>
      <c r="L27">
        <v>112</v>
      </c>
      <c r="M27">
        <v>102</v>
      </c>
      <c r="N27">
        <v>112</v>
      </c>
    </row>
    <row r="28" spans="1:19">
      <c r="A28">
        <v>21</v>
      </c>
      <c r="B28" s="68">
        <v>43429</v>
      </c>
      <c r="C28" t="s">
        <v>244</v>
      </c>
      <c r="D28" t="s">
        <v>239</v>
      </c>
      <c r="E28">
        <v>32</v>
      </c>
      <c r="F28">
        <v>25</v>
      </c>
      <c r="G28">
        <v>68</v>
      </c>
      <c r="H28">
        <v>54</v>
      </c>
      <c r="I28">
        <v>102</v>
      </c>
      <c r="J28">
        <v>89</v>
      </c>
      <c r="K28">
        <v>125</v>
      </c>
      <c r="L28">
        <v>127</v>
      </c>
      <c r="M28">
        <v>125</v>
      </c>
      <c r="N28">
        <v>127</v>
      </c>
    </row>
    <row r="29" spans="1:19">
      <c r="A29">
        <v>22</v>
      </c>
      <c r="B29" s="68">
        <v>43432</v>
      </c>
      <c r="C29" t="s">
        <v>244</v>
      </c>
      <c r="D29" t="s">
        <v>261</v>
      </c>
      <c r="E29">
        <v>16</v>
      </c>
      <c r="F29">
        <v>17</v>
      </c>
      <c r="G29">
        <v>42</v>
      </c>
      <c r="H29">
        <v>43</v>
      </c>
      <c r="I29">
        <v>78</v>
      </c>
      <c r="J29">
        <v>70</v>
      </c>
      <c r="K29">
        <v>91</v>
      </c>
      <c r="L29">
        <v>101</v>
      </c>
      <c r="M29">
        <v>91</v>
      </c>
      <c r="N29">
        <v>101</v>
      </c>
    </row>
    <row r="30" spans="1:19">
      <c r="A30">
        <v>23</v>
      </c>
      <c r="B30" s="68">
        <v>43434</v>
      </c>
      <c r="C30" t="s">
        <v>244</v>
      </c>
      <c r="D30" t="s">
        <v>249</v>
      </c>
      <c r="E30">
        <v>26</v>
      </c>
      <c r="F30">
        <v>26</v>
      </c>
      <c r="G30">
        <v>58</v>
      </c>
      <c r="H30">
        <v>58</v>
      </c>
      <c r="I30">
        <v>80</v>
      </c>
      <c r="J30">
        <v>85</v>
      </c>
      <c r="K30">
        <v>111</v>
      </c>
      <c r="L30">
        <v>111</v>
      </c>
      <c r="M30">
        <v>125</v>
      </c>
      <c r="N30">
        <v>131</v>
      </c>
      <c r="O30">
        <v>125</v>
      </c>
      <c r="P30">
        <v>131</v>
      </c>
    </row>
    <row r="31" spans="1:19">
      <c r="A31">
        <v>25</v>
      </c>
      <c r="B31" s="68">
        <v>43437</v>
      </c>
      <c r="C31" t="s">
        <v>244</v>
      </c>
      <c r="D31" t="s">
        <v>255</v>
      </c>
      <c r="E31">
        <v>29</v>
      </c>
      <c r="F31">
        <v>30</v>
      </c>
      <c r="G31">
        <v>50</v>
      </c>
      <c r="H31">
        <v>56</v>
      </c>
      <c r="I31">
        <v>76</v>
      </c>
      <c r="J31">
        <v>80</v>
      </c>
      <c r="K31">
        <v>97</v>
      </c>
      <c r="L31">
        <v>99</v>
      </c>
      <c r="M31">
        <v>97</v>
      </c>
      <c r="N31">
        <v>99</v>
      </c>
    </row>
    <row r="32" spans="1:19">
      <c r="A32">
        <v>26</v>
      </c>
      <c r="B32" s="68">
        <v>43439</v>
      </c>
      <c r="C32" t="s">
        <v>244</v>
      </c>
      <c r="D32" t="s">
        <v>241</v>
      </c>
      <c r="E32">
        <v>26</v>
      </c>
      <c r="F32">
        <v>24</v>
      </c>
      <c r="G32">
        <v>62</v>
      </c>
      <c r="H32">
        <v>46</v>
      </c>
      <c r="I32">
        <v>93</v>
      </c>
      <c r="J32">
        <v>75</v>
      </c>
      <c r="K32">
        <v>112</v>
      </c>
      <c r="L32">
        <v>114</v>
      </c>
      <c r="M32">
        <v>112</v>
      </c>
      <c r="N32">
        <v>114</v>
      </c>
    </row>
    <row r="33" spans="1:16">
      <c r="A33">
        <v>27</v>
      </c>
      <c r="B33" s="68">
        <v>43441</v>
      </c>
      <c r="C33" t="s">
        <v>244</v>
      </c>
      <c r="D33" t="s">
        <v>256</v>
      </c>
      <c r="E33">
        <v>24</v>
      </c>
      <c r="F33">
        <v>20</v>
      </c>
      <c r="G33">
        <v>53</v>
      </c>
      <c r="H33">
        <v>53</v>
      </c>
      <c r="I33">
        <v>80</v>
      </c>
      <c r="J33">
        <v>79</v>
      </c>
      <c r="K33">
        <v>98</v>
      </c>
      <c r="L33">
        <v>98</v>
      </c>
      <c r="M33">
        <v>106</v>
      </c>
      <c r="N33">
        <v>105</v>
      </c>
      <c r="O33">
        <v>106</v>
      </c>
      <c r="P33">
        <v>105</v>
      </c>
    </row>
    <row r="34" spans="1:16">
      <c r="A34">
        <v>30</v>
      </c>
      <c r="B34" s="68">
        <v>43448</v>
      </c>
      <c r="C34" t="s">
        <v>244</v>
      </c>
      <c r="D34" t="s">
        <v>268</v>
      </c>
      <c r="E34">
        <v>27</v>
      </c>
      <c r="F34">
        <v>31</v>
      </c>
      <c r="G34">
        <v>70</v>
      </c>
      <c r="H34">
        <v>59</v>
      </c>
      <c r="I34">
        <v>101</v>
      </c>
      <c r="J34">
        <v>85</v>
      </c>
      <c r="K34">
        <v>125</v>
      </c>
      <c r="L34">
        <v>118</v>
      </c>
      <c r="M34">
        <v>125</v>
      </c>
      <c r="N34">
        <v>118</v>
      </c>
    </row>
    <row r="35" spans="1:16">
      <c r="A35">
        <v>31</v>
      </c>
      <c r="B35" s="68">
        <v>43450</v>
      </c>
      <c r="C35" t="s">
        <v>244</v>
      </c>
      <c r="D35" t="s">
        <v>253</v>
      </c>
      <c r="E35">
        <v>42</v>
      </c>
      <c r="F35">
        <v>23</v>
      </c>
      <c r="G35">
        <v>72</v>
      </c>
      <c r="H35">
        <v>66</v>
      </c>
      <c r="I35">
        <v>111</v>
      </c>
      <c r="J35">
        <v>96</v>
      </c>
      <c r="K35">
        <v>144</v>
      </c>
      <c r="L35">
        <v>127</v>
      </c>
      <c r="M35">
        <v>144</v>
      </c>
      <c r="N35">
        <v>127</v>
      </c>
    </row>
    <row r="36" spans="1:16">
      <c r="A36">
        <v>32</v>
      </c>
      <c r="B36" s="68">
        <v>43452</v>
      </c>
      <c r="C36" t="s">
        <v>244</v>
      </c>
      <c r="D36" t="s">
        <v>269</v>
      </c>
      <c r="E36">
        <v>33</v>
      </c>
      <c r="F36">
        <v>32</v>
      </c>
      <c r="G36">
        <v>62</v>
      </c>
      <c r="H36">
        <v>57</v>
      </c>
      <c r="I36">
        <v>90</v>
      </c>
      <c r="J36">
        <v>83</v>
      </c>
      <c r="K36">
        <v>115</v>
      </c>
      <c r="L36">
        <v>110</v>
      </c>
      <c r="M36">
        <v>115</v>
      </c>
      <c r="N36">
        <v>110</v>
      </c>
    </row>
    <row r="37" spans="1:16">
      <c r="A37">
        <v>34</v>
      </c>
      <c r="B37" s="68">
        <v>43455</v>
      </c>
      <c r="C37" t="s">
        <v>244</v>
      </c>
      <c r="D37" t="s">
        <v>250</v>
      </c>
      <c r="E37">
        <v>27</v>
      </c>
      <c r="F37">
        <v>37</v>
      </c>
      <c r="G37">
        <v>49</v>
      </c>
      <c r="H37">
        <v>59</v>
      </c>
      <c r="I37">
        <v>80</v>
      </c>
      <c r="J37">
        <v>84</v>
      </c>
      <c r="K37">
        <v>106</v>
      </c>
      <c r="L37">
        <v>114</v>
      </c>
      <c r="M37">
        <v>106</v>
      </c>
      <c r="N37">
        <v>114</v>
      </c>
    </row>
    <row r="38" spans="1:16">
      <c r="A38">
        <v>35</v>
      </c>
      <c r="B38" s="68">
        <v>43457</v>
      </c>
      <c r="C38" t="s">
        <v>244</v>
      </c>
      <c r="D38" t="s">
        <v>266</v>
      </c>
      <c r="E38">
        <v>38</v>
      </c>
      <c r="F38">
        <v>31</v>
      </c>
      <c r="G38">
        <v>63</v>
      </c>
      <c r="H38">
        <v>56</v>
      </c>
      <c r="I38">
        <v>91</v>
      </c>
      <c r="J38">
        <v>74</v>
      </c>
      <c r="K38">
        <v>111</v>
      </c>
      <c r="L38">
        <v>103</v>
      </c>
      <c r="M38">
        <v>111</v>
      </c>
      <c r="N38">
        <v>103</v>
      </c>
    </row>
    <row r="39" spans="1:16">
      <c r="A39">
        <v>36</v>
      </c>
      <c r="B39" s="68">
        <v>43460</v>
      </c>
      <c r="C39" t="s">
        <v>244</v>
      </c>
      <c r="D39" t="s">
        <v>246</v>
      </c>
      <c r="E39">
        <v>22</v>
      </c>
      <c r="F39">
        <v>29</v>
      </c>
      <c r="G39">
        <v>56</v>
      </c>
      <c r="H39">
        <v>51</v>
      </c>
      <c r="I39">
        <v>79</v>
      </c>
      <c r="J39">
        <v>77</v>
      </c>
      <c r="K39">
        <v>114</v>
      </c>
      <c r="L39">
        <v>114</v>
      </c>
      <c r="M39">
        <v>134</v>
      </c>
      <c r="N39">
        <v>132</v>
      </c>
      <c r="O39">
        <v>134</v>
      </c>
      <c r="P39">
        <v>132</v>
      </c>
    </row>
    <row r="40" spans="1:16">
      <c r="A40">
        <v>39</v>
      </c>
      <c r="B40" s="68">
        <v>43467</v>
      </c>
      <c r="C40" t="s">
        <v>244</v>
      </c>
      <c r="D40" t="s">
        <v>257</v>
      </c>
      <c r="E40">
        <v>39</v>
      </c>
      <c r="F40">
        <v>29</v>
      </c>
      <c r="G40">
        <v>73</v>
      </c>
      <c r="H40">
        <v>58</v>
      </c>
      <c r="I40">
        <v>105</v>
      </c>
      <c r="J40">
        <v>87</v>
      </c>
      <c r="K40">
        <v>126</v>
      </c>
      <c r="L40">
        <v>121</v>
      </c>
      <c r="M40">
        <v>126</v>
      </c>
      <c r="N40">
        <v>121</v>
      </c>
    </row>
  </sheetData>
  <sortState xmlns:xlrd2="http://schemas.microsoft.com/office/spreadsheetml/2017/richdata2" ref="A2:R68">
    <sortCondition ref="C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R39"/>
  <sheetViews>
    <sheetView topLeftCell="U1" workbookViewId="0">
      <selection activeCell="AA3" sqref="AA3"/>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36328125" customWidth="1"/>
    <col min="20" max="20" width="20.1796875" customWidth="1"/>
    <col min="21" max="21" width="23" customWidth="1"/>
    <col min="22" max="22" width="19.54296875" customWidth="1"/>
    <col min="23" max="23" width="22.90625" customWidth="1"/>
    <col min="24" max="24" width="21.36328125" customWidth="1"/>
    <col min="25" max="25" width="23.1796875" customWidth="1"/>
    <col min="26" max="26" width="22" customWidth="1"/>
    <col min="27" max="27" width="25.9062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43391</v>
      </c>
      <c r="C2" t="s">
        <v>243</v>
      </c>
      <c r="D2" t="s">
        <v>270</v>
      </c>
      <c r="E2">
        <v>31</v>
      </c>
      <c r="F2">
        <v>34</v>
      </c>
      <c r="G2">
        <v>63</v>
      </c>
      <c r="H2">
        <v>65</v>
      </c>
      <c r="I2">
        <v>91</v>
      </c>
      <c r="J2">
        <v>93</v>
      </c>
      <c r="K2">
        <v>119</v>
      </c>
      <c r="L2">
        <v>128</v>
      </c>
      <c r="M2">
        <v>119</v>
      </c>
      <c r="N2">
        <v>128</v>
      </c>
    </row>
    <row r="3" spans="1:18">
      <c r="A3">
        <v>4</v>
      </c>
      <c r="B3" s="68">
        <v>43397</v>
      </c>
      <c r="C3" t="s">
        <v>243</v>
      </c>
      <c r="D3" t="s">
        <v>266</v>
      </c>
      <c r="E3">
        <v>32</v>
      </c>
      <c r="F3">
        <v>30</v>
      </c>
      <c r="G3">
        <v>76</v>
      </c>
      <c r="H3">
        <v>54</v>
      </c>
      <c r="I3">
        <v>106</v>
      </c>
      <c r="J3">
        <v>86</v>
      </c>
      <c r="K3">
        <v>131</v>
      </c>
      <c r="L3">
        <v>113</v>
      </c>
      <c r="M3">
        <v>131</v>
      </c>
      <c r="N3">
        <v>113</v>
      </c>
    </row>
    <row r="4" spans="1:18">
      <c r="A4">
        <v>6</v>
      </c>
      <c r="B4" s="68">
        <v>43400</v>
      </c>
      <c r="C4" t="s">
        <v>243</v>
      </c>
      <c r="D4" t="s">
        <v>260</v>
      </c>
      <c r="E4">
        <v>36</v>
      </c>
      <c r="F4">
        <v>29</v>
      </c>
      <c r="G4">
        <v>60</v>
      </c>
      <c r="H4">
        <v>54</v>
      </c>
      <c r="I4">
        <v>88</v>
      </c>
      <c r="J4">
        <v>87</v>
      </c>
      <c r="K4">
        <v>106</v>
      </c>
      <c r="L4">
        <v>110</v>
      </c>
      <c r="M4">
        <v>106</v>
      </c>
      <c r="N4">
        <v>110</v>
      </c>
    </row>
    <row r="5" spans="1:18">
      <c r="A5">
        <v>7</v>
      </c>
      <c r="B5" s="68">
        <v>43402</v>
      </c>
      <c r="C5" t="s">
        <v>243</v>
      </c>
      <c r="D5" t="s">
        <v>259</v>
      </c>
      <c r="E5">
        <v>32</v>
      </c>
      <c r="F5">
        <v>36</v>
      </c>
      <c r="G5">
        <v>66</v>
      </c>
      <c r="H5">
        <v>64</v>
      </c>
      <c r="I5">
        <v>94</v>
      </c>
      <c r="J5">
        <v>93</v>
      </c>
      <c r="K5">
        <v>120</v>
      </c>
      <c r="L5">
        <v>124</v>
      </c>
      <c r="M5">
        <v>120</v>
      </c>
      <c r="N5">
        <v>124</v>
      </c>
    </row>
    <row r="6" spans="1:18">
      <c r="A6">
        <v>9</v>
      </c>
      <c r="B6" s="68">
        <v>43407</v>
      </c>
      <c r="C6" t="s">
        <v>243</v>
      </c>
      <c r="D6" t="s">
        <v>270</v>
      </c>
      <c r="E6">
        <v>28</v>
      </c>
      <c r="F6">
        <v>29</v>
      </c>
      <c r="G6">
        <v>56</v>
      </c>
      <c r="H6">
        <v>57</v>
      </c>
      <c r="I6">
        <v>88</v>
      </c>
      <c r="J6">
        <v>73</v>
      </c>
      <c r="K6">
        <v>114</v>
      </c>
      <c r="L6">
        <v>110</v>
      </c>
      <c r="M6">
        <v>114</v>
      </c>
      <c r="N6">
        <v>110</v>
      </c>
    </row>
    <row r="7" spans="1:18">
      <c r="A7">
        <v>12</v>
      </c>
      <c r="B7" s="68">
        <v>43414</v>
      </c>
      <c r="C7" t="s">
        <v>243</v>
      </c>
      <c r="D7" t="s">
        <v>262</v>
      </c>
      <c r="E7">
        <v>26</v>
      </c>
      <c r="F7">
        <v>20</v>
      </c>
      <c r="G7">
        <v>50</v>
      </c>
      <c r="H7">
        <v>44</v>
      </c>
      <c r="I7">
        <v>76</v>
      </c>
      <c r="J7">
        <v>65</v>
      </c>
      <c r="K7">
        <v>101</v>
      </c>
      <c r="L7">
        <v>86</v>
      </c>
      <c r="M7">
        <v>101</v>
      </c>
      <c r="N7">
        <v>86</v>
      </c>
    </row>
    <row r="8" spans="1:18">
      <c r="A8">
        <v>15</v>
      </c>
      <c r="B8" s="68">
        <v>43421</v>
      </c>
      <c r="C8" t="s">
        <v>243</v>
      </c>
      <c r="D8" t="s">
        <v>252</v>
      </c>
      <c r="E8">
        <v>31</v>
      </c>
      <c r="F8">
        <v>25</v>
      </c>
      <c r="G8">
        <v>53</v>
      </c>
      <c r="H8">
        <v>62</v>
      </c>
      <c r="I8">
        <v>81</v>
      </c>
      <c r="J8">
        <v>100</v>
      </c>
      <c r="K8">
        <v>117</v>
      </c>
      <c r="L8">
        <v>130</v>
      </c>
      <c r="M8">
        <v>117</v>
      </c>
      <c r="N8">
        <v>130</v>
      </c>
    </row>
    <row r="9" spans="1:18">
      <c r="A9">
        <v>16</v>
      </c>
      <c r="B9" s="68">
        <v>43422</v>
      </c>
      <c r="C9" t="s">
        <v>243</v>
      </c>
      <c r="D9" t="s">
        <v>251</v>
      </c>
      <c r="E9">
        <v>34</v>
      </c>
      <c r="F9">
        <v>21</v>
      </c>
      <c r="G9">
        <v>67</v>
      </c>
      <c r="H9">
        <v>52</v>
      </c>
      <c r="I9">
        <v>92</v>
      </c>
      <c r="J9">
        <v>76</v>
      </c>
      <c r="K9">
        <v>113</v>
      </c>
      <c r="L9">
        <v>97</v>
      </c>
      <c r="M9">
        <v>113</v>
      </c>
      <c r="N9">
        <v>97</v>
      </c>
    </row>
    <row r="10" spans="1:18">
      <c r="A10">
        <v>17</v>
      </c>
      <c r="B10" s="68">
        <v>43425</v>
      </c>
      <c r="C10" t="s">
        <v>243</v>
      </c>
      <c r="D10" t="s">
        <v>255</v>
      </c>
      <c r="E10">
        <v>24</v>
      </c>
      <c r="F10">
        <v>28</v>
      </c>
      <c r="G10">
        <v>49</v>
      </c>
      <c r="H10">
        <v>52</v>
      </c>
      <c r="I10">
        <v>81</v>
      </c>
      <c r="J10">
        <v>81</v>
      </c>
      <c r="K10">
        <v>109</v>
      </c>
      <c r="L10">
        <v>105</v>
      </c>
      <c r="M10">
        <v>109</v>
      </c>
      <c r="N10">
        <v>105</v>
      </c>
    </row>
    <row r="11" spans="1:18">
      <c r="A11">
        <v>20</v>
      </c>
      <c r="B11" s="68">
        <v>43431</v>
      </c>
      <c r="C11" t="s">
        <v>243</v>
      </c>
      <c r="D11" t="s">
        <v>263</v>
      </c>
      <c r="E11">
        <v>26</v>
      </c>
      <c r="F11">
        <v>30</v>
      </c>
      <c r="G11">
        <v>50</v>
      </c>
      <c r="H11">
        <v>58</v>
      </c>
      <c r="I11">
        <v>71</v>
      </c>
      <c r="J11">
        <v>89</v>
      </c>
      <c r="K11">
        <v>85</v>
      </c>
      <c r="L11">
        <v>117</v>
      </c>
      <c r="M11">
        <v>85</v>
      </c>
      <c r="N11">
        <v>117</v>
      </c>
    </row>
    <row r="12" spans="1:18">
      <c r="A12">
        <v>25</v>
      </c>
      <c r="B12" s="68">
        <v>43441</v>
      </c>
      <c r="C12" t="s">
        <v>243</v>
      </c>
      <c r="D12" t="s">
        <v>260</v>
      </c>
      <c r="E12">
        <v>36</v>
      </c>
      <c r="F12">
        <v>32</v>
      </c>
      <c r="G12">
        <v>72</v>
      </c>
      <c r="H12">
        <v>68</v>
      </c>
      <c r="I12">
        <v>99</v>
      </c>
      <c r="J12">
        <v>89</v>
      </c>
      <c r="K12">
        <v>120</v>
      </c>
      <c r="L12">
        <v>133</v>
      </c>
      <c r="M12">
        <v>120</v>
      </c>
      <c r="N12">
        <v>133</v>
      </c>
    </row>
    <row r="13" spans="1:18">
      <c r="A13">
        <v>26</v>
      </c>
      <c r="B13" s="68">
        <v>43442</v>
      </c>
      <c r="C13" t="s">
        <v>243</v>
      </c>
      <c r="D13" t="s">
        <v>249</v>
      </c>
      <c r="E13">
        <v>27</v>
      </c>
      <c r="F13">
        <v>16</v>
      </c>
      <c r="G13">
        <v>63</v>
      </c>
      <c r="H13">
        <v>40</v>
      </c>
      <c r="I13">
        <v>91</v>
      </c>
      <c r="J13">
        <v>66</v>
      </c>
      <c r="K13">
        <v>111</v>
      </c>
      <c r="L13">
        <v>88</v>
      </c>
      <c r="M13">
        <v>111</v>
      </c>
      <c r="N13">
        <v>88</v>
      </c>
    </row>
    <row r="14" spans="1:18">
      <c r="A14">
        <v>28</v>
      </c>
      <c r="B14" s="68">
        <v>43447</v>
      </c>
      <c r="C14" t="s">
        <v>243</v>
      </c>
      <c r="D14" t="s">
        <v>258</v>
      </c>
      <c r="E14">
        <v>24</v>
      </c>
      <c r="F14">
        <v>29</v>
      </c>
      <c r="G14">
        <v>56</v>
      </c>
      <c r="H14">
        <v>62</v>
      </c>
      <c r="I14">
        <v>88</v>
      </c>
      <c r="J14">
        <v>90</v>
      </c>
      <c r="K14">
        <v>111</v>
      </c>
      <c r="L14">
        <v>126</v>
      </c>
      <c r="M14">
        <v>111</v>
      </c>
      <c r="N14">
        <v>126</v>
      </c>
    </row>
    <row r="15" spans="1:18">
      <c r="A15">
        <v>29</v>
      </c>
      <c r="B15" s="68">
        <v>43449</v>
      </c>
      <c r="C15" t="s">
        <v>243</v>
      </c>
      <c r="D15" t="s">
        <v>246</v>
      </c>
      <c r="E15">
        <v>32</v>
      </c>
      <c r="F15">
        <v>22</v>
      </c>
      <c r="G15">
        <v>57</v>
      </c>
      <c r="H15">
        <v>50</v>
      </c>
      <c r="I15">
        <v>97</v>
      </c>
      <c r="J15">
        <v>67</v>
      </c>
      <c r="K15">
        <v>128</v>
      </c>
      <c r="L15">
        <v>100</v>
      </c>
      <c r="M15">
        <v>128</v>
      </c>
      <c r="N15">
        <v>100</v>
      </c>
    </row>
    <row r="16" spans="1:18">
      <c r="A16">
        <v>30</v>
      </c>
      <c r="B16" s="68">
        <v>43450</v>
      </c>
      <c r="C16" t="s">
        <v>243</v>
      </c>
      <c r="D16" t="s">
        <v>268</v>
      </c>
      <c r="E16">
        <v>23</v>
      </c>
      <c r="F16">
        <v>33</v>
      </c>
      <c r="G16">
        <v>51</v>
      </c>
      <c r="H16">
        <v>71</v>
      </c>
      <c r="I16">
        <v>76</v>
      </c>
      <c r="J16">
        <v>99</v>
      </c>
      <c r="K16">
        <v>110</v>
      </c>
      <c r="L16">
        <v>128</v>
      </c>
      <c r="M16">
        <v>110</v>
      </c>
      <c r="N16">
        <v>128</v>
      </c>
    </row>
    <row r="17" spans="1:16">
      <c r="A17">
        <v>31</v>
      </c>
      <c r="B17" s="68">
        <v>43452</v>
      </c>
      <c r="C17" t="s">
        <v>243</v>
      </c>
      <c r="D17" t="s">
        <v>247</v>
      </c>
      <c r="E17">
        <v>32</v>
      </c>
      <c r="F17">
        <v>33</v>
      </c>
      <c r="G17">
        <v>57</v>
      </c>
      <c r="H17">
        <v>62</v>
      </c>
      <c r="I17">
        <v>83</v>
      </c>
      <c r="J17">
        <v>90</v>
      </c>
      <c r="K17">
        <v>110</v>
      </c>
      <c r="L17">
        <v>115</v>
      </c>
      <c r="M17">
        <v>110</v>
      </c>
      <c r="N17">
        <v>115</v>
      </c>
    </row>
    <row r="18" spans="1:16">
      <c r="A18">
        <v>34</v>
      </c>
      <c r="B18" s="68">
        <v>43459</v>
      </c>
      <c r="C18" t="s">
        <v>243</v>
      </c>
      <c r="D18" t="s">
        <v>242</v>
      </c>
      <c r="E18">
        <v>32</v>
      </c>
      <c r="F18">
        <v>25</v>
      </c>
      <c r="G18">
        <v>65</v>
      </c>
      <c r="H18">
        <v>50</v>
      </c>
      <c r="I18">
        <v>91</v>
      </c>
      <c r="J18">
        <v>82</v>
      </c>
      <c r="K18">
        <v>127</v>
      </c>
      <c r="L18">
        <v>101</v>
      </c>
      <c r="M18">
        <v>127</v>
      </c>
      <c r="N18">
        <v>101</v>
      </c>
    </row>
    <row r="19" spans="1:16">
      <c r="A19">
        <v>35</v>
      </c>
      <c r="B19" s="68">
        <v>43461</v>
      </c>
      <c r="C19" t="s">
        <v>243</v>
      </c>
      <c r="D19" t="s">
        <v>262</v>
      </c>
      <c r="E19">
        <v>34</v>
      </c>
      <c r="F19">
        <v>32</v>
      </c>
      <c r="G19">
        <v>67</v>
      </c>
      <c r="H19">
        <v>61</v>
      </c>
      <c r="I19">
        <v>95</v>
      </c>
      <c r="J19">
        <v>84</v>
      </c>
      <c r="K19">
        <v>116</v>
      </c>
      <c r="L19">
        <v>117</v>
      </c>
      <c r="M19">
        <v>116</v>
      </c>
      <c r="N19">
        <v>117</v>
      </c>
    </row>
    <row r="20" spans="1:16">
      <c r="A20">
        <v>2</v>
      </c>
      <c r="B20" s="68">
        <v>43393</v>
      </c>
      <c r="C20" t="s">
        <v>244</v>
      </c>
      <c r="D20" t="s">
        <v>258</v>
      </c>
      <c r="E20">
        <v>28</v>
      </c>
      <c r="F20">
        <v>31</v>
      </c>
      <c r="G20">
        <v>62</v>
      </c>
      <c r="H20">
        <v>66</v>
      </c>
      <c r="I20">
        <v>97</v>
      </c>
      <c r="J20">
        <v>98</v>
      </c>
      <c r="K20">
        <v>115</v>
      </c>
      <c r="L20">
        <v>124</v>
      </c>
      <c r="M20">
        <v>115</v>
      </c>
      <c r="N20">
        <v>124</v>
      </c>
    </row>
    <row r="21" spans="1:16">
      <c r="A21">
        <v>3</v>
      </c>
      <c r="B21" s="68">
        <v>43395</v>
      </c>
      <c r="C21" t="s">
        <v>244</v>
      </c>
      <c r="D21" t="s">
        <v>260</v>
      </c>
      <c r="E21">
        <v>26</v>
      </c>
      <c r="F21">
        <v>40</v>
      </c>
      <c r="G21">
        <v>60</v>
      </c>
      <c r="H21">
        <v>65</v>
      </c>
      <c r="I21">
        <v>96</v>
      </c>
      <c r="J21">
        <v>99</v>
      </c>
      <c r="K21">
        <v>128</v>
      </c>
      <c r="L21">
        <v>128</v>
      </c>
      <c r="M21">
        <v>142</v>
      </c>
      <c r="N21">
        <v>143</v>
      </c>
      <c r="O21">
        <v>142</v>
      </c>
      <c r="P21">
        <v>143</v>
      </c>
    </row>
    <row r="22" spans="1:16">
      <c r="A22">
        <v>5</v>
      </c>
      <c r="B22" s="68">
        <v>43398</v>
      </c>
      <c r="C22" t="s">
        <v>244</v>
      </c>
      <c r="D22" t="s">
        <v>263</v>
      </c>
      <c r="E22">
        <v>22</v>
      </c>
      <c r="F22">
        <v>26</v>
      </c>
      <c r="G22">
        <v>58</v>
      </c>
      <c r="H22">
        <v>57</v>
      </c>
      <c r="I22">
        <v>87</v>
      </c>
      <c r="J22">
        <v>89</v>
      </c>
      <c r="K22">
        <v>121</v>
      </c>
      <c r="L22">
        <v>114</v>
      </c>
      <c r="M22">
        <v>121</v>
      </c>
      <c r="N22">
        <v>114</v>
      </c>
    </row>
    <row r="23" spans="1:16">
      <c r="A23">
        <v>8</v>
      </c>
      <c r="B23" s="68">
        <v>43404</v>
      </c>
      <c r="C23" t="s">
        <v>244</v>
      </c>
      <c r="D23" t="s">
        <v>265</v>
      </c>
      <c r="E23">
        <v>38</v>
      </c>
      <c r="F23">
        <v>21</v>
      </c>
      <c r="G23">
        <v>66</v>
      </c>
      <c r="H23">
        <v>59</v>
      </c>
      <c r="I23">
        <v>94</v>
      </c>
      <c r="J23">
        <v>81</v>
      </c>
      <c r="K23">
        <v>114</v>
      </c>
      <c r="L23">
        <v>113</v>
      </c>
      <c r="M23">
        <v>114</v>
      </c>
      <c r="N23">
        <v>113</v>
      </c>
    </row>
    <row r="24" spans="1:16">
      <c r="A24">
        <v>10</v>
      </c>
      <c r="B24" s="68">
        <v>43408</v>
      </c>
      <c r="C24" t="s">
        <v>244</v>
      </c>
      <c r="D24" t="s">
        <v>256</v>
      </c>
      <c r="E24">
        <v>17</v>
      </c>
      <c r="F24">
        <v>42</v>
      </c>
      <c r="G24">
        <v>49</v>
      </c>
      <c r="H24">
        <v>71</v>
      </c>
      <c r="I24">
        <v>80</v>
      </c>
      <c r="J24">
        <v>101</v>
      </c>
      <c r="K24">
        <v>107</v>
      </c>
      <c r="L24">
        <v>121</v>
      </c>
      <c r="M24">
        <v>107</v>
      </c>
      <c r="N24">
        <v>121</v>
      </c>
    </row>
    <row r="25" spans="1:16">
      <c r="A25">
        <v>11</v>
      </c>
      <c r="B25" s="68">
        <v>43411</v>
      </c>
      <c r="C25" t="s">
        <v>244</v>
      </c>
      <c r="D25" t="s">
        <v>259</v>
      </c>
      <c r="E25">
        <v>30</v>
      </c>
      <c r="F25">
        <v>32</v>
      </c>
      <c r="G25">
        <v>65</v>
      </c>
      <c r="H25">
        <v>67</v>
      </c>
      <c r="I25">
        <v>86</v>
      </c>
      <c r="J25">
        <v>88</v>
      </c>
      <c r="K25">
        <v>114</v>
      </c>
      <c r="L25">
        <v>110</v>
      </c>
      <c r="M25">
        <v>114</v>
      </c>
      <c r="N25">
        <v>110</v>
      </c>
    </row>
    <row r="26" spans="1:16">
      <c r="A26">
        <v>13</v>
      </c>
      <c r="B26" s="68">
        <v>43415</v>
      </c>
      <c r="C26" t="s">
        <v>244</v>
      </c>
      <c r="D26" t="s">
        <v>253</v>
      </c>
      <c r="E26">
        <v>28</v>
      </c>
      <c r="F26">
        <v>22</v>
      </c>
      <c r="G26">
        <v>52</v>
      </c>
      <c r="H26">
        <v>53</v>
      </c>
      <c r="I26">
        <v>84</v>
      </c>
      <c r="J26">
        <v>75</v>
      </c>
      <c r="K26">
        <v>107</v>
      </c>
      <c r="L26">
        <v>106</v>
      </c>
      <c r="M26">
        <v>107</v>
      </c>
      <c r="N26">
        <v>106</v>
      </c>
    </row>
    <row r="27" spans="1:16">
      <c r="A27">
        <v>14</v>
      </c>
      <c r="B27" s="68">
        <v>43418</v>
      </c>
      <c r="C27" t="s">
        <v>244</v>
      </c>
      <c r="D27" t="s">
        <v>270</v>
      </c>
      <c r="E27">
        <v>26</v>
      </c>
      <c r="F27">
        <v>33</v>
      </c>
      <c r="G27">
        <v>59</v>
      </c>
      <c r="H27">
        <v>55</v>
      </c>
      <c r="I27">
        <v>97</v>
      </c>
      <c r="J27">
        <v>89</v>
      </c>
      <c r="K27">
        <v>126</v>
      </c>
      <c r="L27">
        <v>117</v>
      </c>
      <c r="M27">
        <v>126</v>
      </c>
      <c r="N27">
        <v>117</v>
      </c>
    </row>
    <row r="28" spans="1:16">
      <c r="A28">
        <v>18</v>
      </c>
      <c r="B28" s="68">
        <v>43427</v>
      </c>
      <c r="C28" t="s">
        <v>244</v>
      </c>
      <c r="D28" t="s">
        <v>261</v>
      </c>
      <c r="E28">
        <v>22</v>
      </c>
      <c r="F28">
        <v>16</v>
      </c>
      <c r="G28">
        <v>38</v>
      </c>
      <c r="H28">
        <v>38</v>
      </c>
      <c r="I28">
        <v>64</v>
      </c>
      <c r="J28">
        <v>63</v>
      </c>
      <c r="K28">
        <v>90</v>
      </c>
      <c r="L28">
        <v>83</v>
      </c>
      <c r="M28">
        <v>90</v>
      </c>
      <c r="N28">
        <v>83</v>
      </c>
    </row>
    <row r="29" spans="1:16">
      <c r="A29">
        <v>19</v>
      </c>
      <c r="B29" s="68">
        <v>43429</v>
      </c>
      <c r="C29" t="s">
        <v>244</v>
      </c>
      <c r="D29" t="s">
        <v>252</v>
      </c>
      <c r="E29">
        <v>29</v>
      </c>
      <c r="F29">
        <v>19</v>
      </c>
      <c r="G29">
        <v>52</v>
      </c>
      <c r="H29">
        <v>51</v>
      </c>
      <c r="I29">
        <v>71</v>
      </c>
      <c r="J29">
        <v>86</v>
      </c>
      <c r="K29">
        <v>104</v>
      </c>
      <c r="L29">
        <v>108</v>
      </c>
      <c r="M29">
        <v>104</v>
      </c>
      <c r="N29">
        <v>108</v>
      </c>
    </row>
    <row r="30" spans="1:16">
      <c r="A30">
        <v>21</v>
      </c>
      <c r="B30" s="68">
        <v>43433</v>
      </c>
      <c r="C30" t="s">
        <v>244</v>
      </c>
      <c r="D30" t="s">
        <v>250</v>
      </c>
      <c r="E30">
        <v>38</v>
      </c>
      <c r="F30">
        <v>15</v>
      </c>
      <c r="G30">
        <v>56</v>
      </c>
      <c r="H30">
        <v>50</v>
      </c>
      <c r="I30">
        <v>83</v>
      </c>
      <c r="J30">
        <v>75</v>
      </c>
      <c r="K30">
        <v>104</v>
      </c>
      <c r="L30">
        <v>96</v>
      </c>
      <c r="M30">
        <v>104</v>
      </c>
      <c r="N30">
        <v>96</v>
      </c>
    </row>
    <row r="31" spans="1:16">
      <c r="A31">
        <v>22</v>
      </c>
      <c r="B31" s="68">
        <v>43434</v>
      </c>
      <c r="C31" t="s">
        <v>244</v>
      </c>
      <c r="D31" t="s">
        <v>265</v>
      </c>
      <c r="E31">
        <v>22</v>
      </c>
      <c r="F31">
        <v>32</v>
      </c>
      <c r="G31">
        <v>53</v>
      </c>
      <c r="H31">
        <v>58</v>
      </c>
      <c r="I31">
        <v>78</v>
      </c>
      <c r="J31">
        <v>75</v>
      </c>
      <c r="K31">
        <v>114</v>
      </c>
      <c r="L31">
        <v>103</v>
      </c>
      <c r="M31">
        <v>114</v>
      </c>
      <c r="N31">
        <v>103</v>
      </c>
    </row>
    <row r="32" spans="1:16">
      <c r="A32">
        <v>23</v>
      </c>
      <c r="B32" s="68">
        <v>43436</v>
      </c>
      <c r="C32" t="s">
        <v>244</v>
      </c>
      <c r="D32" t="s">
        <v>266</v>
      </c>
      <c r="E32">
        <v>21</v>
      </c>
      <c r="F32">
        <v>31</v>
      </c>
      <c r="G32">
        <v>61</v>
      </c>
      <c r="H32">
        <v>46</v>
      </c>
      <c r="I32">
        <v>95</v>
      </c>
      <c r="J32">
        <v>74</v>
      </c>
      <c r="K32">
        <v>120</v>
      </c>
      <c r="L32">
        <v>96</v>
      </c>
      <c r="M32">
        <v>120</v>
      </c>
      <c r="N32">
        <v>96</v>
      </c>
    </row>
    <row r="33" spans="1:14">
      <c r="A33">
        <v>24</v>
      </c>
      <c r="B33" s="68">
        <v>43439</v>
      </c>
      <c r="C33" t="s">
        <v>244</v>
      </c>
      <c r="D33" t="s">
        <v>260</v>
      </c>
      <c r="E33">
        <v>31</v>
      </c>
      <c r="F33">
        <v>23</v>
      </c>
      <c r="G33">
        <v>50</v>
      </c>
      <c r="H33">
        <v>45</v>
      </c>
      <c r="I33">
        <v>78</v>
      </c>
      <c r="J33">
        <v>82</v>
      </c>
      <c r="K33">
        <v>121</v>
      </c>
      <c r="L33">
        <v>113</v>
      </c>
      <c r="M33">
        <v>121</v>
      </c>
      <c r="N33">
        <v>113</v>
      </c>
    </row>
    <row r="34" spans="1:14">
      <c r="A34">
        <v>27</v>
      </c>
      <c r="B34" s="68">
        <v>43444</v>
      </c>
      <c r="C34" t="s">
        <v>244</v>
      </c>
      <c r="D34" t="s">
        <v>251</v>
      </c>
      <c r="E34">
        <v>27</v>
      </c>
      <c r="F34">
        <v>23</v>
      </c>
      <c r="G34">
        <v>55</v>
      </c>
      <c r="H34">
        <v>58</v>
      </c>
      <c r="I34">
        <v>84</v>
      </c>
      <c r="J34">
        <v>83</v>
      </c>
      <c r="K34">
        <v>108</v>
      </c>
      <c r="L34">
        <v>105</v>
      </c>
      <c r="M34">
        <v>108</v>
      </c>
      <c r="N34">
        <v>105</v>
      </c>
    </row>
    <row r="35" spans="1:14">
      <c r="A35">
        <v>32</v>
      </c>
      <c r="B35" s="68">
        <v>43455</v>
      </c>
      <c r="C35" t="s">
        <v>244</v>
      </c>
      <c r="D35" t="s">
        <v>257</v>
      </c>
      <c r="E35">
        <v>34</v>
      </c>
      <c r="F35">
        <v>34</v>
      </c>
      <c r="G35">
        <v>69</v>
      </c>
      <c r="H35">
        <v>65</v>
      </c>
      <c r="I35">
        <v>94</v>
      </c>
      <c r="J35">
        <v>88</v>
      </c>
      <c r="K35">
        <v>112</v>
      </c>
      <c r="L35">
        <v>104</v>
      </c>
      <c r="M35">
        <v>112</v>
      </c>
      <c r="N35">
        <v>104</v>
      </c>
    </row>
    <row r="36" spans="1:14">
      <c r="A36">
        <v>33</v>
      </c>
      <c r="B36" s="68">
        <v>43457</v>
      </c>
      <c r="C36" t="s">
        <v>244</v>
      </c>
      <c r="D36" t="s">
        <v>249</v>
      </c>
      <c r="E36">
        <v>20</v>
      </c>
      <c r="F36">
        <v>26</v>
      </c>
      <c r="G36">
        <v>46</v>
      </c>
      <c r="H36">
        <v>50</v>
      </c>
      <c r="I36">
        <v>75</v>
      </c>
      <c r="J36">
        <v>72</v>
      </c>
      <c r="K36">
        <v>99</v>
      </c>
      <c r="L36">
        <v>107</v>
      </c>
      <c r="M36">
        <v>99</v>
      </c>
      <c r="N36">
        <v>107</v>
      </c>
    </row>
    <row r="37" spans="1:14">
      <c r="A37">
        <v>36</v>
      </c>
      <c r="B37" s="68">
        <v>43462</v>
      </c>
      <c r="C37" t="s">
        <v>244</v>
      </c>
      <c r="D37" t="s">
        <v>264</v>
      </c>
      <c r="E37">
        <v>23</v>
      </c>
      <c r="F37">
        <v>28</v>
      </c>
      <c r="G37">
        <v>54</v>
      </c>
      <c r="H37">
        <v>51</v>
      </c>
      <c r="I37">
        <v>80</v>
      </c>
      <c r="J37">
        <v>82</v>
      </c>
      <c r="K37">
        <v>107</v>
      </c>
      <c r="L37">
        <v>118</v>
      </c>
      <c r="M37">
        <v>107</v>
      </c>
      <c r="N37">
        <v>118</v>
      </c>
    </row>
    <row r="38" spans="1:14">
      <c r="A38">
        <v>37</v>
      </c>
      <c r="B38" s="68">
        <v>43464</v>
      </c>
      <c r="C38" t="s">
        <v>244</v>
      </c>
      <c r="D38" t="s">
        <v>262</v>
      </c>
      <c r="E38">
        <v>37</v>
      </c>
      <c r="F38">
        <v>31</v>
      </c>
      <c r="G38">
        <v>64</v>
      </c>
      <c r="H38">
        <v>68</v>
      </c>
      <c r="I38">
        <v>92</v>
      </c>
      <c r="J38">
        <v>96</v>
      </c>
      <c r="K38">
        <v>121</v>
      </c>
      <c r="L38">
        <v>114</v>
      </c>
      <c r="M38">
        <v>121</v>
      </c>
      <c r="N38">
        <v>114</v>
      </c>
    </row>
    <row r="39" spans="1:14">
      <c r="A39">
        <v>38</v>
      </c>
      <c r="B39" s="68">
        <v>43467</v>
      </c>
      <c r="C39" t="s">
        <v>244</v>
      </c>
      <c r="D39" t="s">
        <v>241</v>
      </c>
      <c r="E39">
        <v>25</v>
      </c>
      <c r="F39">
        <v>25</v>
      </c>
      <c r="G39">
        <v>57</v>
      </c>
      <c r="H39">
        <v>59</v>
      </c>
      <c r="I39">
        <v>82</v>
      </c>
      <c r="J39">
        <v>78</v>
      </c>
      <c r="K39">
        <v>100</v>
      </c>
      <c r="L39">
        <v>107</v>
      </c>
      <c r="M39">
        <v>100</v>
      </c>
      <c r="N39">
        <v>107</v>
      </c>
    </row>
  </sheetData>
  <sortState xmlns:xlrd2="http://schemas.microsoft.com/office/spreadsheetml/2017/richdata2" ref="A2:R65">
    <sortCondition ref="C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
  <dimension ref="A1:AA39"/>
  <sheetViews>
    <sheetView topLeftCell="H21" workbookViewId="0">
      <selection activeCell="N39" sqref="N39"/>
    </sheetView>
  </sheetViews>
  <sheetFormatPr defaultRowHeight="14.5"/>
  <cols>
    <col min="1" max="1" width="2.6328125" bestFit="1" customWidth="1"/>
    <col min="2" max="2" width="13"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08984375" customWidth="1"/>
    <col min="20" max="20" width="19.453125" customWidth="1"/>
    <col min="21" max="21" width="22.81640625" customWidth="1"/>
    <col min="22" max="22" width="20.08984375" customWidth="1"/>
    <col min="23" max="23" width="22.7265625" customWidth="1"/>
    <col min="24" max="24" width="21" customWidth="1"/>
    <col min="25" max="25" width="23.6328125" customWidth="1"/>
    <col min="26" max="26" width="22.1796875" customWidth="1"/>
    <col min="27" max="27" width="25.453125" customWidth="1"/>
  </cols>
  <sheetData>
    <row r="1" spans="1:27">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c r="S1" t="s">
        <v>273</v>
      </c>
      <c r="T1" t="s">
        <v>274</v>
      </c>
      <c r="U1" t="s">
        <v>276</v>
      </c>
      <c r="V1" t="s">
        <v>274</v>
      </c>
      <c r="W1" t="s">
        <v>276</v>
      </c>
      <c r="X1" t="s">
        <v>278</v>
      </c>
      <c r="Y1" t="s">
        <v>279</v>
      </c>
      <c r="Z1" t="s">
        <v>280</v>
      </c>
      <c r="AA1" t="s">
        <v>281</v>
      </c>
    </row>
    <row r="2" spans="1:27">
      <c r="A2">
        <v>1</v>
      </c>
      <c r="B2" s="68">
        <v>43390</v>
      </c>
      <c r="C2" t="s">
        <v>243</v>
      </c>
      <c r="D2" t="s">
        <v>260</v>
      </c>
      <c r="E2">
        <v>23</v>
      </c>
      <c r="F2">
        <v>31</v>
      </c>
      <c r="G2">
        <v>52</v>
      </c>
      <c r="H2">
        <v>56</v>
      </c>
      <c r="I2">
        <v>83</v>
      </c>
      <c r="J2">
        <v>81</v>
      </c>
      <c r="K2">
        <v>108</v>
      </c>
      <c r="L2">
        <v>112</v>
      </c>
      <c r="M2">
        <v>108</v>
      </c>
      <c r="N2">
        <v>112</v>
      </c>
      <c r="T2" t="s">
        <v>275</v>
      </c>
      <c r="U2" t="s">
        <v>275</v>
      </c>
      <c r="V2" t="s">
        <v>277</v>
      </c>
      <c r="W2" t="s">
        <v>277</v>
      </c>
      <c r="X2">
        <f>AVERAGE(M22:M39)</f>
        <v>114.05555555555556</v>
      </c>
      <c r="Y2">
        <f>AVERAGE(N22:N39)</f>
        <v>108.38888888888889</v>
      </c>
      <c r="Z2">
        <f>AVERAGE(G22:G39)</f>
        <v>56.944444444444443</v>
      </c>
      <c r="AA2">
        <f>AVERAGE(H22:H39)</f>
        <v>53.888888888888886</v>
      </c>
    </row>
    <row r="3" spans="1:27">
      <c r="A3">
        <v>3</v>
      </c>
      <c r="B3" s="68">
        <v>43393</v>
      </c>
      <c r="C3" t="s">
        <v>243</v>
      </c>
      <c r="D3" t="s">
        <v>265</v>
      </c>
      <c r="E3">
        <v>46</v>
      </c>
      <c r="F3">
        <v>37</v>
      </c>
      <c r="G3">
        <v>69</v>
      </c>
      <c r="H3">
        <v>69</v>
      </c>
      <c r="I3">
        <v>99</v>
      </c>
      <c r="J3">
        <v>97</v>
      </c>
      <c r="K3">
        <v>136</v>
      </c>
      <c r="L3">
        <v>140</v>
      </c>
      <c r="M3">
        <v>136</v>
      </c>
      <c r="N3">
        <v>140</v>
      </c>
      <c r="T3">
        <f>AVERAGEIF(S22:S39,"&gt;0",Q22:Q39)</f>
        <v>56.9</v>
      </c>
      <c r="U3">
        <f>AVERAGEIF(S22:S39,"&gt;0",R22:R39)</f>
        <v>58.4</v>
      </c>
      <c r="V3">
        <f>AVERAGEIF(S22:S39,"&lt;0",Q22:Q39)</f>
        <v>57.375</v>
      </c>
      <c r="W3">
        <f>AVERAGEIF(S22:S39,"&lt;0",R22:R39)</f>
        <v>49.625</v>
      </c>
    </row>
    <row r="4" spans="1:27">
      <c r="A4">
        <v>5</v>
      </c>
      <c r="B4" s="68">
        <v>43397</v>
      </c>
      <c r="C4" t="s">
        <v>243</v>
      </c>
      <c r="D4" t="s">
        <v>256</v>
      </c>
      <c r="E4">
        <v>19</v>
      </c>
      <c r="F4">
        <v>26</v>
      </c>
      <c r="G4">
        <v>48</v>
      </c>
      <c r="H4">
        <v>57</v>
      </c>
      <c r="I4">
        <v>74</v>
      </c>
      <c r="J4">
        <v>83</v>
      </c>
      <c r="K4">
        <v>105</v>
      </c>
      <c r="L4">
        <v>112</v>
      </c>
      <c r="M4">
        <v>105</v>
      </c>
      <c r="N4">
        <v>112</v>
      </c>
    </row>
    <row r="5" spans="1:27">
      <c r="A5">
        <v>9</v>
      </c>
      <c r="B5" s="68">
        <v>43406</v>
      </c>
      <c r="C5" t="s">
        <v>243</v>
      </c>
      <c r="D5" t="s">
        <v>242</v>
      </c>
      <c r="E5">
        <v>32</v>
      </c>
      <c r="F5">
        <v>36</v>
      </c>
      <c r="G5">
        <v>58</v>
      </c>
      <c r="H5">
        <v>61</v>
      </c>
      <c r="I5">
        <v>87</v>
      </c>
      <c r="J5">
        <v>83</v>
      </c>
      <c r="K5">
        <v>99</v>
      </c>
      <c r="L5">
        <v>116</v>
      </c>
      <c r="M5">
        <v>99</v>
      </c>
      <c r="N5">
        <v>116</v>
      </c>
    </row>
    <row r="6" spans="1:27">
      <c r="A6">
        <v>10</v>
      </c>
      <c r="B6" s="68">
        <v>43408</v>
      </c>
      <c r="C6" t="s">
        <v>243</v>
      </c>
      <c r="D6" t="s">
        <v>270</v>
      </c>
      <c r="E6">
        <v>27</v>
      </c>
      <c r="F6">
        <v>30</v>
      </c>
      <c r="G6">
        <v>45</v>
      </c>
      <c r="H6">
        <v>61</v>
      </c>
      <c r="I6">
        <v>64</v>
      </c>
      <c r="J6">
        <v>92</v>
      </c>
      <c r="K6">
        <v>81</v>
      </c>
      <c r="L6">
        <v>111</v>
      </c>
      <c r="M6">
        <v>81</v>
      </c>
      <c r="N6">
        <v>111</v>
      </c>
    </row>
    <row r="7" spans="1:27">
      <c r="A7">
        <v>11</v>
      </c>
      <c r="B7" s="68">
        <v>43409</v>
      </c>
      <c r="C7" t="s">
        <v>243</v>
      </c>
      <c r="D7" t="s">
        <v>264</v>
      </c>
      <c r="E7">
        <v>33</v>
      </c>
      <c r="F7">
        <v>31</v>
      </c>
      <c r="G7">
        <v>59</v>
      </c>
      <c r="H7">
        <v>63</v>
      </c>
      <c r="I7">
        <v>84</v>
      </c>
      <c r="J7">
        <v>92</v>
      </c>
      <c r="K7">
        <v>109</v>
      </c>
      <c r="L7">
        <v>120</v>
      </c>
      <c r="M7">
        <v>109</v>
      </c>
      <c r="N7">
        <v>120</v>
      </c>
    </row>
    <row r="8" spans="1:27">
      <c r="A8">
        <v>12</v>
      </c>
      <c r="B8" s="68">
        <v>43411</v>
      </c>
      <c r="C8" t="s">
        <v>243</v>
      </c>
      <c r="D8" t="s">
        <v>269</v>
      </c>
      <c r="E8">
        <v>32</v>
      </c>
      <c r="F8">
        <v>30</v>
      </c>
      <c r="G8">
        <v>67</v>
      </c>
      <c r="H8">
        <v>65</v>
      </c>
      <c r="I8">
        <v>88</v>
      </c>
      <c r="J8">
        <v>86</v>
      </c>
      <c r="K8">
        <v>110</v>
      </c>
      <c r="L8">
        <v>114</v>
      </c>
      <c r="M8">
        <v>110</v>
      </c>
      <c r="N8">
        <v>114</v>
      </c>
    </row>
    <row r="9" spans="1:27">
      <c r="A9">
        <v>13</v>
      </c>
      <c r="B9" s="68">
        <v>43413</v>
      </c>
      <c r="C9" t="s">
        <v>243</v>
      </c>
      <c r="D9" t="s">
        <v>262</v>
      </c>
      <c r="E9">
        <v>31</v>
      </c>
      <c r="F9">
        <v>29</v>
      </c>
      <c r="G9">
        <v>61</v>
      </c>
      <c r="H9">
        <v>63</v>
      </c>
      <c r="I9">
        <v>81</v>
      </c>
      <c r="J9">
        <v>92</v>
      </c>
      <c r="K9">
        <v>110</v>
      </c>
      <c r="L9">
        <v>121</v>
      </c>
      <c r="M9">
        <v>110</v>
      </c>
      <c r="N9">
        <v>121</v>
      </c>
    </row>
    <row r="10" spans="1:27">
      <c r="A10">
        <v>19</v>
      </c>
      <c r="B10" s="68">
        <v>43427</v>
      </c>
      <c r="C10" t="s">
        <v>243</v>
      </c>
      <c r="D10" t="s">
        <v>247</v>
      </c>
      <c r="E10">
        <v>22</v>
      </c>
      <c r="F10">
        <v>26</v>
      </c>
      <c r="G10">
        <v>54</v>
      </c>
      <c r="H10">
        <v>49</v>
      </c>
      <c r="I10">
        <v>89</v>
      </c>
      <c r="J10">
        <v>72</v>
      </c>
      <c r="K10">
        <v>112</v>
      </c>
      <c r="L10">
        <v>102</v>
      </c>
      <c r="M10">
        <v>112</v>
      </c>
      <c r="N10">
        <v>102</v>
      </c>
    </row>
    <row r="11" spans="1:27">
      <c r="A11">
        <v>21</v>
      </c>
      <c r="B11" s="68">
        <v>43430</v>
      </c>
      <c r="C11" t="s">
        <v>243</v>
      </c>
      <c r="D11" t="s">
        <v>255</v>
      </c>
      <c r="E11">
        <v>29</v>
      </c>
      <c r="F11">
        <v>26</v>
      </c>
      <c r="G11">
        <v>54</v>
      </c>
      <c r="H11">
        <v>47</v>
      </c>
      <c r="I11">
        <v>75</v>
      </c>
      <c r="J11">
        <v>71</v>
      </c>
      <c r="K11">
        <v>102</v>
      </c>
      <c r="L11">
        <v>95</v>
      </c>
      <c r="M11">
        <v>102</v>
      </c>
      <c r="N11">
        <v>95</v>
      </c>
    </row>
    <row r="12" spans="1:27">
      <c r="A12">
        <v>26</v>
      </c>
      <c r="B12" s="68">
        <v>43442</v>
      </c>
      <c r="C12" t="s">
        <v>243</v>
      </c>
      <c r="D12" t="s">
        <v>270</v>
      </c>
      <c r="E12">
        <v>27</v>
      </c>
      <c r="F12">
        <v>30</v>
      </c>
      <c r="G12">
        <v>51</v>
      </c>
      <c r="H12">
        <v>53</v>
      </c>
      <c r="I12">
        <v>80</v>
      </c>
      <c r="J12">
        <v>81</v>
      </c>
      <c r="K12">
        <v>105</v>
      </c>
      <c r="L12">
        <v>113</v>
      </c>
      <c r="M12">
        <v>105</v>
      </c>
      <c r="N12">
        <v>113</v>
      </c>
    </row>
    <row r="13" spans="1:27">
      <c r="A13">
        <v>27</v>
      </c>
      <c r="B13" s="68">
        <v>43444</v>
      </c>
      <c r="C13" t="s">
        <v>243</v>
      </c>
      <c r="D13" t="s">
        <v>242</v>
      </c>
      <c r="E13">
        <v>24</v>
      </c>
      <c r="F13">
        <v>30</v>
      </c>
      <c r="G13">
        <v>57</v>
      </c>
      <c r="H13">
        <v>63</v>
      </c>
      <c r="I13">
        <v>77</v>
      </c>
      <c r="J13">
        <v>91</v>
      </c>
      <c r="K13">
        <v>108</v>
      </c>
      <c r="L13">
        <v>116</v>
      </c>
      <c r="M13">
        <v>108</v>
      </c>
      <c r="N13">
        <v>116</v>
      </c>
    </row>
    <row r="14" spans="1:27">
      <c r="A14">
        <v>28</v>
      </c>
      <c r="B14" s="68">
        <v>43446</v>
      </c>
      <c r="C14" t="s">
        <v>243</v>
      </c>
      <c r="D14" t="s">
        <v>262</v>
      </c>
      <c r="E14">
        <v>31</v>
      </c>
      <c r="F14">
        <v>35</v>
      </c>
      <c r="G14">
        <v>50</v>
      </c>
      <c r="H14">
        <v>63</v>
      </c>
      <c r="I14">
        <v>92</v>
      </c>
      <c r="J14">
        <v>96</v>
      </c>
      <c r="K14">
        <v>130</v>
      </c>
      <c r="L14">
        <v>141</v>
      </c>
      <c r="M14">
        <v>130</v>
      </c>
      <c r="N14">
        <v>141</v>
      </c>
    </row>
    <row r="15" spans="1:27">
      <c r="A15">
        <v>29</v>
      </c>
      <c r="B15" s="68">
        <v>43449</v>
      </c>
      <c r="C15" t="s">
        <v>243</v>
      </c>
      <c r="D15" t="s">
        <v>266</v>
      </c>
      <c r="E15">
        <v>30</v>
      </c>
      <c r="F15">
        <v>28</v>
      </c>
      <c r="G15">
        <v>58</v>
      </c>
      <c r="H15">
        <v>56</v>
      </c>
      <c r="I15">
        <v>82</v>
      </c>
      <c r="J15">
        <v>85</v>
      </c>
      <c r="K15">
        <v>99</v>
      </c>
      <c r="L15">
        <v>107</v>
      </c>
      <c r="M15">
        <v>99</v>
      </c>
      <c r="N15">
        <v>107</v>
      </c>
    </row>
    <row r="16" spans="1:27">
      <c r="A16">
        <v>32</v>
      </c>
      <c r="B16" s="68">
        <v>43455</v>
      </c>
      <c r="C16" t="s">
        <v>243</v>
      </c>
      <c r="D16" t="s">
        <v>260</v>
      </c>
      <c r="E16">
        <v>21</v>
      </c>
      <c r="F16">
        <v>29</v>
      </c>
      <c r="G16">
        <v>44</v>
      </c>
      <c r="H16">
        <v>62</v>
      </c>
      <c r="I16">
        <v>71</v>
      </c>
      <c r="J16">
        <v>87</v>
      </c>
      <c r="K16">
        <v>98</v>
      </c>
      <c r="L16">
        <v>124</v>
      </c>
      <c r="M16">
        <v>98</v>
      </c>
      <c r="N16">
        <v>124</v>
      </c>
    </row>
    <row r="17" spans="1:19">
      <c r="A17">
        <v>33</v>
      </c>
      <c r="B17" s="68">
        <v>43457</v>
      </c>
      <c r="C17" t="s">
        <v>243</v>
      </c>
      <c r="D17" t="s">
        <v>241</v>
      </c>
      <c r="E17">
        <v>35</v>
      </c>
      <c r="F17">
        <v>25</v>
      </c>
      <c r="G17">
        <v>53</v>
      </c>
      <c r="H17">
        <v>63</v>
      </c>
      <c r="I17">
        <v>86</v>
      </c>
      <c r="J17">
        <v>80</v>
      </c>
      <c r="K17">
        <v>114</v>
      </c>
      <c r="L17">
        <v>112</v>
      </c>
      <c r="M17">
        <v>114</v>
      </c>
      <c r="N17">
        <v>112</v>
      </c>
    </row>
    <row r="18" spans="1:19">
      <c r="A18">
        <v>34</v>
      </c>
      <c r="B18" s="68">
        <v>43460</v>
      </c>
      <c r="C18" t="s">
        <v>243</v>
      </c>
      <c r="D18" t="s">
        <v>267</v>
      </c>
      <c r="E18">
        <v>29</v>
      </c>
      <c r="F18">
        <v>18</v>
      </c>
      <c r="G18">
        <v>60</v>
      </c>
      <c r="H18">
        <v>37</v>
      </c>
      <c r="I18">
        <v>83</v>
      </c>
      <c r="J18">
        <v>65</v>
      </c>
      <c r="K18">
        <v>119</v>
      </c>
      <c r="L18">
        <v>94</v>
      </c>
      <c r="M18">
        <v>119</v>
      </c>
      <c r="N18">
        <v>94</v>
      </c>
    </row>
    <row r="19" spans="1:19">
      <c r="A19">
        <v>36</v>
      </c>
      <c r="B19" s="68">
        <v>43464</v>
      </c>
      <c r="C19" t="s">
        <v>243</v>
      </c>
      <c r="D19" t="s">
        <v>251</v>
      </c>
      <c r="E19">
        <v>30</v>
      </c>
      <c r="F19">
        <v>19</v>
      </c>
      <c r="G19">
        <v>55</v>
      </c>
      <c r="H19">
        <v>54</v>
      </c>
      <c r="I19">
        <v>86</v>
      </c>
      <c r="J19">
        <v>77</v>
      </c>
      <c r="K19">
        <v>113</v>
      </c>
      <c r="L19">
        <v>104</v>
      </c>
      <c r="M19">
        <v>113</v>
      </c>
      <c r="N19">
        <v>104</v>
      </c>
    </row>
    <row r="20" spans="1:19">
      <c r="A20">
        <v>37</v>
      </c>
      <c r="B20" s="68">
        <v>43465</v>
      </c>
      <c r="C20" t="s">
        <v>243</v>
      </c>
      <c r="D20" t="s">
        <v>257</v>
      </c>
      <c r="E20">
        <v>22</v>
      </c>
      <c r="F20">
        <v>27</v>
      </c>
      <c r="G20">
        <v>51</v>
      </c>
      <c r="H20">
        <v>63</v>
      </c>
      <c r="I20">
        <v>89</v>
      </c>
      <c r="J20">
        <v>88</v>
      </c>
      <c r="K20">
        <v>114</v>
      </c>
      <c r="L20">
        <v>123</v>
      </c>
      <c r="M20">
        <v>114</v>
      </c>
      <c r="N20">
        <v>123</v>
      </c>
    </row>
    <row r="21" spans="1:19">
      <c r="A21">
        <v>38</v>
      </c>
      <c r="B21" s="68">
        <v>43467</v>
      </c>
      <c r="C21" t="s">
        <v>243</v>
      </c>
      <c r="D21" t="s">
        <v>240</v>
      </c>
      <c r="E21">
        <v>21</v>
      </c>
      <c r="F21">
        <v>25</v>
      </c>
      <c r="G21">
        <v>42</v>
      </c>
      <c r="H21">
        <v>60</v>
      </c>
      <c r="I21">
        <v>81</v>
      </c>
      <c r="J21">
        <v>87</v>
      </c>
      <c r="K21">
        <v>102</v>
      </c>
      <c r="L21">
        <v>115</v>
      </c>
      <c r="M21">
        <v>102</v>
      </c>
      <c r="N21">
        <v>115</v>
      </c>
    </row>
    <row r="22" spans="1:19">
      <c r="A22">
        <v>2</v>
      </c>
      <c r="B22" s="68">
        <v>43392</v>
      </c>
      <c r="C22" t="s">
        <v>244</v>
      </c>
      <c r="D22" t="s">
        <v>255</v>
      </c>
      <c r="E22">
        <v>32</v>
      </c>
      <c r="F22">
        <v>30</v>
      </c>
      <c r="G22">
        <v>71</v>
      </c>
      <c r="H22">
        <v>54</v>
      </c>
      <c r="I22">
        <v>104</v>
      </c>
      <c r="J22">
        <v>95</v>
      </c>
      <c r="K22">
        <v>131</v>
      </c>
      <c r="L22">
        <v>123</v>
      </c>
      <c r="M22">
        <v>131</v>
      </c>
      <c r="N22">
        <v>123</v>
      </c>
      <c r="Q22">
        <f>M22-G22</f>
        <v>60</v>
      </c>
      <c r="R22">
        <f>N22-H22</f>
        <v>69</v>
      </c>
      <c r="S22">
        <f>G22-H22</f>
        <v>17</v>
      </c>
    </row>
    <row r="23" spans="1:19">
      <c r="A23">
        <v>4</v>
      </c>
      <c r="B23" s="68">
        <v>43395</v>
      </c>
      <c r="C23" t="s">
        <v>244</v>
      </c>
      <c r="D23" t="s">
        <v>250</v>
      </c>
      <c r="E23">
        <v>25</v>
      </c>
      <c r="F23">
        <v>28</v>
      </c>
      <c r="G23">
        <v>50</v>
      </c>
      <c r="H23">
        <v>49</v>
      </c>
      <c r="I23">
        <v>72</v>
      </c>
      <c r="J23">
        <v>73</v>
      </c>
      <c r="K23">
        <v>101</v>
      </c>
      <c r="L23">
        <v>91</v>
      </c>
      <c r="M23">
        <v>101</v>
      </c>
      <c r="N23">
        <v>91</v>
      </c>
      <c r="Q23">
        <f t="shared" ref="Q23:Q39" si="0">M23-G23</f>
        <v>51</v>
      </c>
      <c r="R23">
        <f t="shared" ref="R23:R39" si="1">N23-H23</f>
        <v>42</v>
      </c>
      <c r="S23">
        <f t="shared" ref="S23:S39" si="2">G23-H23</f>
        <v>1</v>
      </c>
    </row>
    <row r="24" spans="1:19">
      <c r="A24">
        <v>6</v>
      </c>
      <c r="B24" s="68">
        <v>43399</v>
      </c>
      <c r="C24" t="s">
        <v>244</v>
      </c>
      <c r="D24" t="s">
        <v>245</v>
      </c>
      <c r="E24">
        <v>16</v>
      </c>
      <c r="F24">
        <v>27</v>
      </c>
      <c r="G24">
        <v>38</v>
      </c>
      <c r="H24">
        <v>63</v>
      </c>
      <c r="I24">
        <v>67</v>
      </c>
      <c r="J24">
        <v>97</v>
      </c>
      <c r="K24">
        <v>95</v>
      </c>
      <c r="L24">
        <v>125</v>
      </c>
      <c r="M24">
        <v>95</v>
      </c>
      <c r="N24">
        <v>125</v>
      </c>
      <c r="Q24">
        <f t="shared" si="0"/>
        <v>57</v>
      </c>
      <c r="R24">
        <f t="shared" si="1"/>
        <v>62</v>
      </c>
      <c r="S24">
        <f t="shared" si="2"/>
        <v>-25</v>
      </c>
    </row>
    <row r="25" spans="1:19">
      <c r="A25">
        <v>7</v>
      </c>
      <c r="B25" s="68">
        <v>43402</v>
      </c>
      <c r="C25" t="s">
        <v>244</v>
      </c>
      <c r="D25" t="s">
        <v>269</v>
      </c>
      <c r="E25">
        <v>36</v>
      </c>
      <c r="F25">
        <v>32</v>
      </c>
      <c r="G25">
        <v>64</v>
      </c>
      <c r="H25">
        <v>66</v>
      </c>
      <c r="I25">
        <v>93</v>
      </c>
      <c r="J25">
        <v>94</v>
      </c>
      <c r="K25">
        <v>124</v>
      </c>
      <c r="L25">
        <v>120</v>
      </c>
      <c r="M25">
        <v>124</v>
      </c>
      <c r="N25">
        <v>120</v>
      </c>
      <c r="Q25">
        <f t="shared" si="0"/>
        <v>60</v>
      </c>
      <c r="R25">
        <f t="shared" si="1"/>
        <v>54</v>
      </c>
      <c r="S25">
        <f t="shared" si="2"/>
        <v>-2</v>
      </c>
    </row>
    <row r="26" spans="1:19">
      <c r="A26">
        <v>8</v>
      </c>
      <c r="B26" s="68">
        <v>43404</v>
      </c>
      <c r="C26" t="s">
        <v>244</v>
      </c>
      <c r="D26" t="s">
        <v>261</v>
      </c>
      <c r="E26">
        <v>32</v>
      </c>
      <c r="F26">
        <v>25</v>
      </c>
      <c r="G26">
        <v>65</v>
      </c>
      <c r="H26">
        <v>56</v>
      </c>
      <c r="I26">
        <v>101</v>
      </c>
      <c r="J26">
        <v>96</v>
      </c>
      <c r="K26">
        <v>128</v>
      </c>
      <c r="L26">
        <v>125</v>
      </c>
      <c r="M26">
        <v>128</v>
      </c>
      <c r="N26">
        <v>125</v>
      </c>
      <c r="Q26">
        <f t="shared" si="0"/>
        <v>63</v>
      </c>
      <c r="R26">
        <f t="shared" si="1"/>
        <v>69</v>
      </c>
      <c r="S26">
        <f t="shared" si="2"/>
        <v>9</v>
      </c>
    </row>
    <row r="27" spans="1:19">
      <c r="A27">
        <v>14</v>
      </c>
      <c r="B27" s="68">
        <v>43416</v>
      </c>
      <c r="C27" t="s">
        <v>244</v>
      </c>
      <c r="D27" t="s">
        <v>247</v>
      </c>
      <c r="E27">
        <v>30</v>
      </c>
      <c r="F27">
        <v>31</v>
      </c>
      <c r="G27">
        <v>57</v>
      </c>
      <c r="H27">
        <v>53</v>
      </c>
      <c r="I27">
        <v>93</v>
      </c>
      <c r="J27">
        <v>85</v>
      </c>
      <c r="K27">
        <v>120</v>
      </c>
      <c r="L27">
        <v>113</v>
      </c>
      <c r="M27">
        <v>120</v>
      </c>
      <c r="N27">
        <v>113</v>
      </c>
      <c r="Q27">
        <f t="shared" si="0"/>
        <v>63</v>
      </c>
      <c r="R27">
        <f t="shared" si="1"/>
        <v>60</v>
      </c>
      <c r="S27">
        <f t="shared" si="2"/>
        <v>4</v>
      </c>
    </row>
    <row r="28" spans="1:19">
      <c r="A28">
        <v>15</v>
      </c>
      <c r="B28" s="68">
        <v>43418</v>
      </c>
      <c r="C28" t="s">
        <v>244</v>
      </c>
      <c r="D28" t="s">
        <v>257</v>
      </c>
      <c r="E28">
        <v>38</v>
      </c>
      <c r="F28">
        <v>28</v>
      </c>
      <c r="G28">
        <v>67</v>
      </c>
      <c r="H28">
        <v>54</v>
      </c>
      <c r="I28">
        <v>85</v>
      </c>
      <c r="J28">
        <v>81</v>
      </c>
      <c r="K28">
        <v>107</v>
      </c>
      <c r="L28">
        <v>100</v>
      </c>
      <c r="M28">
        <v>107</v>
      </c>
      <c r="N28">
        <v>100</v>
      </c>
      <c r="Q28">
        <f t="shared" si="0"/>
        <v>40</v>
      </c>
      <c r="R28">
        <f t="shared" si="1"/>
        <v>46</v>
      </c>
      <c r="S28">
        <f t="shared" si="2"/>
        <v>13</v>
      </c>
    </row>
    <row r="29" spans="1:19">
      <c r="A29">
        <v>16</v>
      </c>
      <c r="B29" s="68">
        <v>43420</v>
      </c>
      <c r="C29" t="s">
        <v>244</v>
      </c>
      <c r="D29" t="s">
        <v>270</v>
      </c>
      <c r="E29">
        <v>29</v>
      </c>
      <c r="F29">
        <v>21</v>
      </c>
      <c r="G29">
        <v>55</v>
      </c>
      <c r="H29">
        <v>43</v>
      </c>
      <c r="I29">
        <v>83</v>
      </c>
      <c r="J29">
        <v>67</v>
      </c>
      <c r="K29">
        <v>112</v>
      </c>
      <c r="L29">
        <v>96</v>
      </c>
      <c r="M29">
        <v>112</v>
      </c>
      <c r="N29">
        <v>96</v>
      </c>
      <c r="Q29">
        <f t="shared" si="0"/>
        <v>57</v>
      </c>
      <c r="R29">
        <f t="shared" si="1"/>
        <v>53</v>
      </c>
      <c r="S29">
        <f t="shared" si="2"/>
        <v>12</v>
      </c>
    </row>
    <row r="30" spans="1:19">
      <c r="A30">
        <v>17</v>
      </c>
      <c r="B30" s="68">
        <v>43422</v>
      </c>
      <c r="C30" t="s">
        <v>244</v>
      </c>
      <c r="D30" t="s">
        <v>249</v>
      </c>
      <c r="E30">
        <v>20</v>
      </c>
      <c r="F30">
        <v>17</v>
      </c>
      <c r="G30">
        <v>43</v>
      </c>
      <c r="H30">
        <v>47</v>
      </c>
      <c r="I30">
        <v>62</v>
      </c>
      <c r="J30">
        <v>75</v>
      </c>
      <c r="K30">
        <v>87</v>
      </c>
      <c r="L30">
        <v>100</v>
      </c>
      <c r="M30">
        <v>87</v>
      </c>
      <c r="N30">
        <v>100</v>
      </c>
      <c r="Q30">
        <f t="shared" si="0"/>
        <v>44</v>
      </c>
      <c r="R30">
        <f t="shared" si="1"/>
        <v>53</v>
      </c>
      <c r="S30">
        <f t="shared" si="2"/>
        <v>-4</v>
      </c>
    </row>
    <row r="31" spans="1:19">
      <c r="A31">
        <v>18</v>
      </c>
      <c r="B31" s="68">
        <v>43425</v>
      </c>
      <c r="C31" t="s">
        <v>244</v>
      </c>
      <c r="D31" t="s">
        <v>263</v>
      </c>
      <c r="E31">
        <v>25</v>
      </c>
      <c r="F31">
        <v>23</v>
      </c>
      <c r="G31">
        <v>56</v>
      </c>
      <c r="H31">
        <v>50</v>
      </c>
      <c r="I31">
        <v>74</v>
      </c>
      <c r="J31">
        <v>85</v>
      </c>
      <c r="K31">
        <v>101</v>
      </c>
      <c r="L31">
        <v>103</v>
      </c>
      <c r="M31">
        <v>101</v>
      </c>
      <c r="N31">
        <v>103</v>
      </c>
      <c r="Q31">
        <f t="shared" si="0"/>
        <v>45</v>
      </c>
      <c r="R31">
        <f t="shared" si="1"/>
        <v>53</v>
      </c>
      <c r="S31">
        <f t="shared" si="2"/>
        <v>6</v>
      </c>
    </row>
    <row r="32" spans="1:19">
      <c r="A32">
        <v>20</v>
      </c>
      <c r="B32" s="68">
        <v>43428</v>
      </c>
      <c r="C32" t="s">
        <v>244</v>
      </c>
      <c r="D32" t="s">
        <v>267</v>
      </c>
      <c r="E32">
        <v>20</v>
      </c>
      <c r="F32">
        <v>22</v>
      </c>
      <c r="G32">
        <v>49</v>
      </c>
      <c r="H32">
        <v>50</v>
      </c>
      <c r="I32">
        <v>84</v>
      </c>
      <c r="J32">
        <v>79</v>
      </c>
      <c r="K32">
        <v>111</v>
      </c>
      <c r="L32">
        <v>96</v>
      </c>
      <c r="M32">
        <v>111</v>
      </c>
      <c r="N32">
        <v>96</v>
      </c>
      <c r="Q32">
        <f t="shared" si="0"/>
        <v>62</v>
      </c>
      <c r="R32">
        <f t="shared" si="1"/>
        <v>46</v>
      </c>
      <c r="S32">
        <f t="shared" si="2"/>
        <v>-1</v>
      </c>
    </row>
    <row r="33" spans="1:19">
      <c r="A33">
        <v>22</v>
      </c>
      <c r="B33" s="68">
        <v>43432</v>
      </c>
      <c r="C33" t="s">
        <v>244</v>
      </c>
      <c r="D33" t="s">
        <v>260</v>
      </c>
      <c r="E33">
        <v>28</v>
      </c>
      <c r="F33">
        <v>25</v>
      </c>
      <c r="G33">
        <v>57</v>
      </c>
      <c r="H33">
        <v>34</v>
      </c>
      <c r="I33">
        <v>92</v>
      </c>
      <c r="J33">
        <v>58</v>
      </c>
      <c r="K33">
        <v>128</v>
      </c>
      <c r="L33">
        <v>89</v>
      </c>
      <c r="M33">
        <v>128</v>
      </c>
      <c r="N33">
        <v>89</v>
      </c>
      <c r="Q33">
        <f t="shared" si="0"/>
        <v>71</v>
      </c>
      <c r="R33">
        <f t="shared" si="1"/>
        <v>55</v>
      </c>
      <c r="S33">
        <f t="shared" si="2"/>
        <v>23</v>
      </c>
    </row>
    <row r="34" spans="1:19">
      <c r="A34">
        <v>23</v>
      </c>
      <c r="B34" s="68">
        <v>43435</v>
      </c>
      <c r="C34" t="s">
        <v>244</v>
      </c>
      <c r="D34" t="s">
        <v>240</v>
      </c>
      <c r="E34">
        <v>26</v>
      </c>
      <c r="F34">
        <v>29</v>
      </c>
      <c r="G34">
        <v>48</v>
      </c>
      <c r="H34">
        <v>57</v>
      </c>
      <c r="I34">
        <v>77</v>
      </c>
      <c r="J34">
        <v>84</v>
      </c>
      <c r="K34">
        <v>109</v>
      </c>
      <c r="L34">
        <v>118</v>
      </c>
      <c r="M34">
        <v>109</v>
      </c>
      <c r="N34">
        <v>118</v>
      </c>
      <c r="Q34">
        <f t="shared" si="0"/>
        <v>61</v>
      </c>
      <c r="R34">
        <f t="shared" si="1"/>
        <v>61</v>
      </c>
      <c r="S34">
        <f t="shared" si="2"/>
        <v>-9</v>
      </c>
    </row>
    <row r="35" spans="1:19">
      <c r="A35">
        <v>24</v>
      </c>
      <c r="B35" s="68">
        <v>43437</v>
      </c>
      <c r="C35" t="s">
        <v>244</v>
      </c>
      <c r="D35" t="s">
        <v>258</v>
      </c>
      <c r="E35">
        <v>24</v>
      </c>
      <c r="F35">
        <v>24</v>
      </c>
      <c r="G35">
        <v>48</v>
      </c>
      <c r="H35">
        <v>62</v>
      </c>
      <c r="I35">
        <v>86</v>
      </c>
      <c r="J35">
        <v>82</v>
      </c>
      <c r="K35">
        <v>103</v>
      </c>
      <c r="L35">
        <v>91</v>
      </c>
      <c r="M35">
        <v>103</v>
      </c>
      <c r="N35">
        <v>91</v>
      </c>
      <c r="Q35">
        <f t="shared" si="0"/>
        <v>55</v>
      </c>
      <c r="R35">
        <f t="shared" si="1"/>
        <v>29</v>
      </c>
      <c r="S35">
        <f t="shared" si="2"/>
        <v>-14</v>
      </c>
    </row>
    <row r="36" spans="1:19">
      <c r="A36">
        <v>25</v>
      </c>
      <c r="B36" s="68">
        <v>43439</v>
      </c>
      <c r="C36" t="s">
        <v>244</v>
      </c>
      <c r="D36" t="s">
        <v>246</v>
      </c>
      <c r="E36">
        <v>31</v>
      </c>
      <c r="F36">
        <v>31</v>
      </c>
      <c r="G36">
        <v>62</v>
      </c>
      <c r="H36">
        <v>64</v>
      </c>
      <c r="I36">
        <v>86</v>
      </c>
      <c r="J36">
        <v>86</v>
      </c>
      <c r="K36">
        <v>121</v>
      </c>
      <c r="L36">
        <v>104</v>
      </c>
      <c r="M36">
        <v>121</v>
      </c>
      <c r="N36">
        <v>104</v>
      </c>
      <c r="Q36">
        <f t="shared" si="0"/>
        <v>59</v>
      </c>
      <c r="R36">
        <f t="shared" si="1"/>
        <v>40</v>
      </c>
      <c r="S36">
        <f t="shared" si="2"/>
        <v>-2</v>
      </c>
    </row>
    <row r="37" spans="1:19">
      <c r="A37">
        <v>30</v>
      </c>
      <c r="B37" s="68">
        <v>43451</v>
      </c>
      <c r="C37" t="s">
        <v>244</v>
      </c>
      <c r="D37" t="s">
        <v>262</v>
      </c>
      <c r="E37">
        <v>38</v>
      </c>
      <c r="F37">
        <v>23</v>
      </c>
      <c r="G37">
        <v>74</v>
      </c>
      <c r="H37">
        <v>44</v>
      </c>
      <c r="I37">
        <v>103</v>
      </c>
      <c r="J37">
        <v>77</v>
      </c>
      <c r="K37">
        <v>132</v>
      </c>
      <c r="L37">
        <v>105</v>
      </c>
      <c r="M37">
        <v>132</v>
      </c>
      <c r="N37">
        <v>105</v>
      </c>
      <c r="Q37">
        <f t="shared" si="0"/>
        <v>58</v>
      </c>
      <c r="R37">
        <f t="shared" si="1"/>
        <v>61</v>
      </c>
      <c r="S37">
        <f t="shared" si="2"/>
        <v>30</v>
      </c>
    </row>
    <row r="38" spans="1:19">
      <c r="A38">
        <v>31</v>
      </c>
      <c r="B38" s="68">
        <v>43453</v>
      </c>
      <c r="C38" t="s">
        <v>244</v>
      </c>
      <c r="D38" t="s">
        <v>248</v>
      </c>
      <c r="E38">
        <v>26</v>
      </c>
      <c r="F38">
        <v>27</v>
      </c>
      <c r="G38">
        <v>62</v>
      </c>
      <c r="H38">
        <v>53</v>
      </c>
      <c r="I38">
        <v>92</v>
      </c>
      <c r="J38">
        <v>78</v>
      </c>
      <c r="K38">
        <v>118</v>
      </c>
      <c r="L38">
        <v>118</v>
      </c>
      <c r="M38">
        <v>123</v>
      </c>
      <c r="N38">
        <v>129</v>
      </c>
      <c r="O38">
        <v>123</v>
      </c>
      <c r="P38">
        <v>129</v>
      </c>
      <c r="Q38">
        <f t="shared" si="0"/>
        <v>61</v>
      </c>
      <c r="R38">
        <f t="shared" si="1"/>
        <v>76</v>
      </c>
      <c r="S38">
        <f t="shared" si="2"/>
        <v>9</v>
      </c>
    </row>
    <row r="39" spans="1:19">
      <c r="A39">
        <v>35</v>
      </c>
      <c r="B39" s="68">
        <v>43462</v>
      </c>
      <c r="C39" t="s">
        <v>244</v>
      </c>
      <c r="D39" t="s">
        <v>253</v>
      </c>
      <c r="E39">
        <v>27</v>
      </c>
      <c r="F39">
        <v>42</v>
      </c>
      <c r="G39">
        <v>59</v>
      </c>
      <c r="H39">
        <v>71</v>
      </c>
      <c r="I39">
        <v>89</v>
      </c>
      <c r="J39">
        <v>89</v>
      </c>
      <c r="K39">
        <v>112</v>
      </c>
      <c r="L39">
        <v>112</v>
      </c>
      <c r="M39">
        <v>120</v>
      </c>
      <c r="N39">
        <v>123</v>
      </c>
      <c r="O39">
        <v>120</v>
      </c>
      <c r="P39">
        <v>123</v>
      </c>
      <c r="Q39">
        <f t="shared" si="0"/>
        <v>61</v>
      </c>
      <c r="R39">
        <f t="shared" si="1"/>
        <v>52</v>
      </c>
      <c r="S39">
        <f t="shared" si="2"/>
        <v>-12</v>
      </c>
    </row>
  </sheetData>
  <sortState xmlns:xlrd2="http://schemas.microsoft.com/office/spreadsheetml/2017/richdata2" ref="A2:R65">
    <sortCondition ref="C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dimension ref="A1:R40"/>
  <sheetViews>
    <sheetView topLeftCell="S1" workbookViewId="0">
      <selection activeCell="S3" sqref="S3"/>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6.54296875" customWidth="1"/>
    <col min="20" max="20" width="20" customWidth="1"/>
    <col min="21" max="21" width="23.453125" customWidth="1"/>
    <col min="22" max="22" width="23.90625" customWidth="1"/>
    <col min="23" max="23" width="22.7265625" customWidth="1"/>
    <col min="24" max="24" width="19.81640625" customWidth="1"/>
    <col min="25" max="25" width="23.1796875" customWidth="1"/>
    <col min="26" max="26" width="21.81640625" customWidth="1"/>
    <col min="27" max="27" width="26.17968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43393</v>
      </c>
      <c r="C2" t="s">
        <v>243</v>
      </c>
      <c r="D2" t="s">
        <v>263</v>
      </c>
      <c r="E2">
        <v>16</v>
      </c>
      <c r="F2">
        <v>30</v>
      </c>
      <c r="G2">
        <v>49</v>
      </c>
      <c r="H2">
        <v>65</v>
      </c>
      <c r="I2">
        <v>79</v>
      </c>
      <c r="J2">
        <v>92</v>
      </c>
      <c r="K2">
        <v>91</v>
      </c>
      <c r="L2">
        <v>119</v>
      </c>
      <c r="M2">
        <v>91</v>
      </c>
      <c r="N2">
        <v>119</v>
      </c>
    </row>
    <row r="3" spans="1:18">
      <c r="A3">
        <v>3</v>
      </c>
      <c r="B3" s="68">
        <v>43395</v>
      </c>
      <c r="C3" t="s">
        <v>243</v>
      </c>
      <c r="D3" t="s">
        <v>242</v>
      </c>
      <c r="E3">
        <v>23</v>
      </c>
      <c r="F3">
        <v>32</v>
      </c>
      <c r="G3">
        <v>47</v>
      </c>
      <c r="H3">
        <v>70</v>
      </c>
      <c r="I3">
        <v>81</v>
      </c>
      <c r="J3">
        <v>106</v>
      </c>
      <c r="K3">
        <v>103</v>
      </c>
      <c r="L3">
        <v>123</v>
      </c>
      <c r="M3">
        <v>103</v>
      </c>
      <c r="N3">
        <v>123</v>
      </c>
    </row>
    <row r="4" spans="1:18">
      <c r="A4">
        <v>5</v>
      </c>
      <c r="B4" s="68">
        <v>43400</v>
      </c>
      <c r="C4" t="s">
        <v>243</v>
      </c>
      <c r="D4" t="s">
        <v>249</v>
      </c>
      <c r="E4">
        <v>18</v>
      </c>
      <c r="F4">
        <v>26</v>
      </c>
      <c r="G4">
        <v>43</v>
      </c>
      <c r="H4">
        <v>68</v>
      </c>
      <c r="I4">
        <v>71</v>
      </c>
      <c r="J4">
        <v>87</v>
      </c>
      <c r="K4">
        <v>96</v>
      </c>
      <c r="L4">
        <v>117</v>
      </c>
      <c r="M4">
        <v>96</v>
      </c>
      <c r="N4">
        <v>117</v>
      </c>
    </row>
    <row r="5" spans="1:18">
      <c r="A5">
        <v>6</v>
      </c>
      <c r="B5" s="68">
        <v>43401</v>
      </c>
      <c r="C5" t="s">
        <v>243</v>
      </c>
      <c r="D5" t="s">
        <v>241</v>
      </c>
      <c r="E5">
        <v>20</v>
      </c>
      <c r="F5">
        <v>30</v>
      </c>
      <c r="G5">
        <v>48</v>
      </c>
      <c r="H5">
        <v>62</v>
      </c>
      <c r="I5">
        <v>76</v>
      </c>
      <c r="J5">
        <v>96</v>
      </c>
      <c r="K5">
        <v>110</v>
      </c>
      <c r="L5">
        <v>117</v>
      </c>
      <c r="M5">
        <v>110</v>
      </c>
      <c r="N5">
        <v>117</v>
      </c>
    </row>
    <row r="6" spans="1:18">
      <c r="A6">
        <v>12</v>
      </c>
      <c r="B6" s="68">
        <v>43414</v>
      </c>
      <c r="C6" t="s">
        <v>243</v>
      </c>
      <c r="D6" t="s">
        <v>257</v>
      </c>
      <c r="E6">
        <v>26</v>
      </c>
      <c r="F6">
        <v>33</v>
      </c>
      <c r="G6">
        <v>53</v>
      </c>
      <c r="H6">
        <v>61</v>
      </c>
      <c r="I6">
        <v>82</v>
      </c>
      <c r="J6">
        <v>91</v>
      </c>
      <c r="K6">
        <v>99</v>
      </c>
      <c r="L6">
        <v>119</v>
      </c>
      <c r="M6">
        <v>99</v>
      </c>
      <c r="N6">
        <v>119</v>
      </c>
    </row>
    <row r="7" spans="1:18">
      <c r="A7">
        <v>13</v>
      </c>
      <c r="B7" s="68">
        <v>43416</v>
      </c>
      <c r="C7" t="s">
        <v>243</v>
      </c>
      <c r="D7" t="s">
        <v>241</v>
      </c>
      <c r="E7">
        <v>13</v>
      </c>
      <c r="F7">
        <v>32</v>
      </c>
      <c r="G7">
        <v>40</v>
      </c>
      <c r="H7">
        <v>64</v>
      </c>
      <c r="I7">
        <v>75</v>
      </c>
      <c r="J7">
        <v>86</v>
      </c>
      <c r="K7">
        <v>101</v>
      </c>
      <c r="L7">
        <v>118</v>
      </c>
      <c r="M7">
        <v>101</v>
      </c>
      <c r="N7">
        <v>118</v>
      </c>
    </row>
    <row r="8" spans="1:18">
      <c r="A8">
        <v>16</v>
      </c>
      <c r="B8" s="68">
        <v>43423</v>
      </c>
      <c r="C8" t="s">
        <v>243</v>
      </c>
      <c r="D8" t="s">
        <v>239</v>
      </c>
      <c r="E8">
        <v>36</v>
      </c>
      <c r="F8">
        <v>26</v>
      </c>
      <c r="G8">
        <v>62</v>
      </c>
      <c r="H8">
        <v>57</v>
      </c>
      <c r="I8">
        <v>86</v>
      </c>
      <c r="J8">
        <v>92</v>
      </c>
      <c r="K8">
        <v>114</v>
      </c>
      <c r="L8">
        <v>119</v>
      </c>
      <c r="M8">
        <v>114</v>
      </c>
      <c r="N8">
        <v>119</v>
      </c>
    </row>
    <row r="9" spans="1:18">
      <c r="A9">
        <v>17</v>
      </c>
      <c r="B9" s="68">
        <v>43425</v>
      </c>
      <c r="C9" t="s">
        <v>243</v>
      </c>
      <c r="D9" t="s">
        <v>267</v>
      </c>
      <c r="E9">
        <v>28</v>
      </c>
      <c r="F9">
        <v>25</v>
      </c>
      <c r="G9">
        <v>69</v>
      </c>
      <c r="H9">
        <v>64</v>
      </c>
      <c r="I9">
        <v>93</v>
      </c>
      <c r="J9">
        <v>94</v>
      </c>
      <c r="K9">
        <v>116</v>
      </c>
      <c r="L9">
        <v>124</v>
      </c>
      <c r="M9">
        <v>116</v>
      </c>
      <c r="N9">
        <v>124</v>
      </c>
    </row>
    <row r="10" spans="1:18">
      <c r="A10">
        <v>18</v>
      </c>
      <c r="B10" s="68">
        <v>43427</v>
      </c>
      <c r="C10" t="s">
        <v>243</v>
      </c>
      <c r="D10" t="s">
        <v>245</v>
      </c>
      <c r="E10">
        <v>34</v>
      </c>
      <c r="F10">
        <v>30</v>
      </c>
      <c r="G10">
        <v>64</v>
      </c>
      <c r="H10">
        <v>61</v>
      </c>
      <c r="I10">
        <v>91</v>
      </c>
      <c r="J10">
        <v>90</v>
      </c>
      <c r="K10">
        <v>116</v>
      </c>
      <c r="L10">
        <v>114</v>
      </c>
      <c r="M10">
        <v>116</v>
      </c>
      <c r="N10">
        <v>114</v>
      </c>
    </row>
    <row r="11" spans="1:18">
      <c r="A11">
        <v>19</v>
      </c>
      <c r="B11" s="68">
        <v>43429</v>
      </c>
      <c r="C11" t="s">
        <v>243</v>
      </c>
      <c r="D11" t="s">
        <v>248</v>
      </c>
      <c r="E11">
        <v>32</v>
      </c>
      <c r="F11">
        <v>27</v>
      </c>
      <c r="G11">
        <v>60</v>
      </c>
      <c r="H11">
        <v>62</v>
      </c>
      <c r="I11">
        <v>84</v>
      </c>
      <c r="J11">
        <v>83</v>
      </c>
      <c r="K11">
        <v>107</v>
      </c>
      <c r="L11">
        <v>118</v>
      </c>
      <c r="M11">
        <v>107</v>
      </c>
      <c r="N11">
        <v>118</v>
      </c>
    </row>
    <row r="12" spans="1:18">
      <c r="A12">
        <v>21</v>
      </c>
      <c r="B12" s="68">
        <v>43432</v>
      </c>
      <c r="C12" t="s">
        <v>243</v>
      </c>
      <c r="D12" t="s">
        <v>264</v>
      </c>
      <c r="E12">
        <v>22</v>
      </c>
      <c r="F12">
        <v>26</v>
      </c>
      <c r="G12">
        <v>49</v>
      </c>
      <c r="H12">
        <v>49</v>
      </c>
      <c r="I12">
        <v>74</v>
      </c>
      <c r="J12">
        <v>89</v>
      </c>
      <c r="K12">
        <v>99</v>
      </c>
      <c r="L12">
        <v>115</v>
      </c>
      <c r="M12">
        <v>99</v>
      </c>
      <c r="N12">
        <v>115</v>
      </c>
    </row>
    <row r="13" spans="1:18">
      <c r="A13">
        <v>23</v>
      </c>
      <c r="B13" s="68">
        <v>43436</v>
      </c>
      <c r="C13" t="s">
        <v>243</v>
      </c>
      <c r="D13" t="s">
        <v>269</v>
      </c>
      <c r="E13">
        <v>31</v>
      </c>
      <c r="F13">
        <v>21</v>
      </c>
      <c r="G13">
        <v>46</v>
      </c>
      <c r="H13">
        <v>61</v>
      </c>
      <c r="I13">
        <v>74</v>
      </c>
      <c r="J13">
        <v>95</v>
      </c>
      <c r="K13">
        <v>96</v>
      </c>
      <c r="L13">
        <v>120</v>
      </c>
      <c r="M13">
        <v>96</v>
      </c>
      <c r="N13">
        <v>120</v>
      </c>
    </row>
    <row r="14" spans="1:18">
      <c r="A14">
        <v>25</v>
      </c>
      <c r="B14" s="68">
        <v>43440</v>
      </c>
      <c r="C14" t="s">
        <v>243</v>
      </c>
      <c r="D14" t="s">
        <v>270</v>
      </c>
      <c r="E14">
        <v>9</v>
      </c>
      <c r="F14">
        <v>34</v>
      </c>
      <c r="G14">
        <v>41</v>
      </c>
      <c r="H14">
        <v>62</v>
      </c>
      <c r="I14">
        <v>59</v>
      </c>
      <c r="J14">
        <v>87</v>
      </c>
      <c r="K14">
        <v>86</v>
      </c>
      <c r="L14">
        <v>108</v>
      </c>
      <c r="M14">
        <v>86</v>
      </c>
      <c r="N14">
        <v>108</v>
      </c>
    </row>
    <row r="15" spans="1:18">
      <c r="A15">
        <v>28</v>
      </c>
      <c r="B15" s="68">
        <v>43445</v>
      </c>
      <c r="C15" t="s">
        <v>243</v>
      </c>
      <c r="D15" t="s">
        <v>260</v>
      </c>
      <c r="E15">
        <v>20</v>
      </c>
      <c r="F15">
        <v>29</v>
      </c>
      <c r="G15">
        <v>46</v>
      </c>
      <c r="H15">
        <v>59</v>
      </c>
      <c r="I15">
        <v>64</v>
      </c>
      <c r="J15">
        <v>88</v>
      </c>
      <c r="K15">
        <v>86</v>
      </c>
      <c r="L15">
        <v>111</v>
      </c>
      <c r="M15">
        <v>86</v>
      </c>
      <c r="N15">
        <v>111</v>
      </c>
    </row>
    <row r="16" spans="1:18">
      <c r="A16">
        <v>31</v>
      </c>
      <c r="B16" s="68">
        <v>43451</v>
      </c>
      <c r="C16" t="s">
        <v>243</v>
      </c>
      <c r="D16" t="s">
        <v>254</v>
      </c>
      <c r="E16">
        <v>28</v>
      </c>
      <c r="F16">
        <v>32</v>
      </c>
      <c r="G16">
        <v>59</v>
      </c>
      <c r="H16">
        <v>66</v>
      </c>
      <c r="I16">
        <v>100</v>
      </c>
      <c r="J16">
        <v>83</v>
      </c>
      <c r="K16">
        <v>128</v>
      </c>
      <c r="L16">
        <v>110</v>
      </c>
      <c r="M16">
        <v>128</v>
      </c>
      <c r="N16">
        <v>110</v>
      </c>
    </row>
    <row r="17" spans="1:16">
      <c r="A17">
        <v>32</v>
      </c>
      <c r="B17" s="68">
        <v>43453</v>
      </c>
      <c r="C17" t="s">
        <v>243</v>
      </c>
      <c r="D17" t="s">
        <v>240</v>
      </c>
      <c r="E17">
        <v>26</v>
      </c>
      <c r="F17">
        <v>37</v>
      </c>
      <c r="G17">
        <v>59</v>
      </c>
      <c r="H17">
        <v>62</v>
      </c>
      <c r="I17">
        <v>86</v>
      </c>
      <c r="J17">
        <v>80</v>
      </c>
      <c r="K17">
        <v>111</v>
      </c>
      <c r="L17">
        <v>103</v>
      </c>
      <c r="M17">
        <v>111</v>
      </c>
      <c r="N17">
        <v>103</v>
      </c>
    </row>
    <row r="18" spans="1:16">
      <c r="A18">
        <v>33</v>
      </c>
      <c r="B18" s="68">
        <v>43456</v>
      </c>
      <c r="C18" t="s">
        <v>243</v>
      </c>
      <c r="D18" t="s">
        <v>268</v>
      </c>
      <c r="E18">
        <v>29</v>
      </c>
      <c r="F18">
        <v>33</v>
      </c>
      <c r="G18">
        <v>55</v>
      </c>
      <c r="H18">
        <v>55</v>
      </c>
      <c r="I18">
        <v>79</v>
      </c>
      <c r="J18">
        <v>83</v>
      </c>
      <c r="K18">
        <v>109</v>
      </c>
      <c r="L18">
        <v>109</v>
      </c>
      <c r="M18">
        <v>146</v>
      </c>
      <c r="N18">
        <v>149</v>
      </c>
      <c r="O18">
        <v>146</v>
      </c>
      <c r="P18">
        <v>149</v>
      </c>
    </row>
    <row r="19" spans="1:16">
      <c r="A19">
        <v>34</v>
      </c>
      <c r="B19" s="68">
        <v>43457</v>
      </c>
      <c r="C19" t="s">
        <v>243</v>
      </c>
      <c r="D19" t="s">
        <v>247</v>
      </c>
      <c r="E19">
        <v>31</v>
      </c>
      <c r="F19">
        <v>38</v>
      </c>
      <c r="G19">
        <v>56</v>
      </c>
      <c r="H19">
        <v>63</v>
      </c>
      <c r="I19">
        <v>74</v>
      </c>
      <c r="J19">
        <v>91</v>
      </c>
      <c r="K19">
        <v>103</v>
      </c>
      <c r="L19">
        <v>111</v>
      </c>
      <c r="M19">
        <v>103</v>
      </c>
      <c r="N19">
        <v>111</v>
      </c>
    </row>
    <row r="20" spans="1:16">
      <c r="A20">
        <v>35</v>
      </c>
      <c r="B20" s="68">
        <v>43460</v>
      </c>
      <c r="C20" t="s">
        <v>243</v>
      </c>
      <c r="D20" t="s">
        <v>252</v>
      </c>
      <c r="E20">
        <v>26</v>
      </c>
      <c r="F20">
        <v>32</v>
      </c>
      <c r="G20">
        <v>62</v>
      </c>
      <c r="H20">
        <v>53</v>
      </c>
      <c r="I20">
        <v>90</v>
      </c>
      <c r="J20">
        <v>87</v>
      </c>
      <c r="K20">
        <v>118</v>
      </c>
      <c r="L20">
        <v>118</v>
      </c>
      <c r="M20">
        <v>122</v>
      </c>
      <c r="N20">
        <v>120</v>
      </c>
      <c r="O20">
        <v>122</v>
      </c>
      <c r="P20">
        <v>120</v>
      </c>
    </row>
    <row r="21" spans="1:16">
      <c r="A21">
        <v>1</v>
      </c>
      <c r="B21" s="68">
        <v>43390</v>
      </c>
      <c r="C21" t="s">
        <v>244</v>
      </c>
      <c r="D21" t="s">
        <v>265</v>
      </c>
      <c r="E21">
        <v>37</v>
      </c>
      <c r="F21">
        <v>24</v>
      </c>
      <c r="G21">
        <v>56</v>
      </c>
      <c r="H21">
        <v>46</v>
      </c>
      <c r="I21">
        <v>83</v>
      </c>
      <c r="J21">
        <v>73</v>
      </c>
      <c r="K21">
        <v>121</v>
      </c>
      <c r="L21">
        <v>100</v>
      </c>
      <c r="M21">
        <v>121</v>
      </c>
      <c r="N21">
        <v>100</v>
      </c>
    </row>
    <row r="22" spans="1:16">
      <c r="A22">
        <v>4</v>
      </c>
      <c r="B22" s="68">
        <v>43397</v>
      </c>
      <c r="C22" t="s">
        <v>244</v>
      </c>
      <c r="D22" t="s">
        <v>269</v>
      </c>
      <c r="E22">
        <v>30</v>
      </c>
      <c r="F22">
        <v>32</v>
      </c>
      <c r="G22">
        <v>54</v>
      </c>
      <c r="H22">
        <v>76</v>
      </c>
      <c r="I22">
        <v>86</v>
      </c>
      <c r="J22">
        <v>106</v>
      </c>
      <c r="K22">
        <v>113</v>
      </c>
      <c r="L22">
        <v>131</v>
      </c>
      <c r="M22">
        <v>113</v>
      </c>
      <c r="N22">
        <v>131</v>
      </c>
    </row>
    <row r="23" spans="1:16">
      <c r="A23">
        <v>7</v>
      </c>
      <c r="B23" s="68">
        <v>43404</v>
      </c>
      <c r="C23" t="s">
        <v>244</v>
      </c>
      <c r="D23" t="s">
        <v>260</v>
      </c>
      <c r="E23">
        <v>15</v>
      </c>
      <c r="F23">
        <v>28</v>
      </c>
      <c r="G23">
        <v>39</v>
      </c>
      <c r="H23">
        <v>60</v>
      </c>
      <c r="I23">
        <v>66</v>
      </c>
      <c r="J23">
        <v>94</v>
      </c>
      <c r="K23">
        <v>90</v>
      </c>
      <c r="L23">
        <v>120</v>
      </c>
      <c r="M23">
        <v>90</v>
      </c>
      <c r="N23">
        <v>120</v>
      </c>
    </row>
    <row r="24" spans="1:16">
      <c r="A24">
        <v>8</v>
      </c>
      <c r="B24" s="68">
        <v>43406</v>
      </c>
      <c r="C24" t="s">
        <v>244</v>
      </c>
      <c r="D24" t="s">
        <v>256</v>
      </c>
      <c r="E24">
        <v>26</v>
      </c>
      <c r="F24">
        <v>23</v>
      </c>
      <c r="G24">
        <v>52</v>
      </c>
      <c r="H24">
        <v>48</v>
      </c>
      <c r="I24">
        <v>71</v>
      </c>
      <c r="J24">
        <v>77</v>
      </c>
      <c r="K24">
        <v>98</v>
      </c>
      <c r="L24">
        <v>107</v>
      </c>
      <c r="M24">
        <v>98</v>
      </c>
      <c r="N24">
        <v>107</v>
      </c>
    </row>
    <row r="25" spans="1:16">
      <c r="A25">
        <v>9</v>
      </c>
      <c r="B25" s="68">
        <v>43408</v>
      </c>
      <c r="C25" t="s">
        <v>244</v>
      </c>
      <c r="D25" t="s">
        <v>249</v>
      </c>
      <c r="E25">
        <v>21</v>
      </c>
      <c r="F25">
        <v>28</v>
      </c>
      <c r="G25">
        <v>52</v>
      </c>
      <c r="H25">
        <v>56</v>
      </c>
      <c r="I25">
        <v>77</v>
      </c>
      <c r="J25">
        <v>81</v>
      </c>
      <c r="K25">
        <v>102</v>
      </c>
      <c r="L25">
        <v>100</v>
      </c>
      <c r="M25">
        <v>102</v>
      </c>
      <c r="N25">
        <v>100</v>
      </c>
    </row>
    <row r="26" spans="1:16">
      <c r="A26">
        <v>10</v>
      </c>
      <c r="B26" s="68">
        <v>43410</v>
      </c>
      <c r="C26" t="s">
        <v>244</v>
      </c>
      <c r="D26" t="s">
        <v>247</v>
      </c>
      <c r="E26">
        <v>22</v>
      </c>
      <c r="F26">
        <v>24</v>
      </c>
      <c r="G26">
        <v>42</v>
      </c>
      <c r="H26">
        <v>52</v>
      </c>
      <c r="I26">
        <v>66</v>
      </c>
      <c r="J26">
        <v>76</v>
      </c>
      <c r="K26">
        <v>82</v>
      </c>
      <c r="L26">
        <v>104</v>
      </c>
      <c r="M26">
        <v>82</v>
      </c>
      <c r="N26">
        <v>104</v>
      </c>
    </row>
    <row r="27" spans="1:16">
      <c r="A27">
        <v>11</v>
      </c>
      <c r="B27" s="68">
        <v>43412</v>
      </c>
      <c r="C27" t="s">
        <v>244</v>
      </c>
      <c r="D27" t="s">
        <v>240</v>
      </c>
      <c r="E27">
        <v>32</v>
      </c>
      <c r="F27">
        <v>13</v>
      </c>
      <c r="G27">
        <v>55</v>
      </c>
      <c r="H27">
        <v>35</v>
      </c>
      <c r="I27">
        <v>80</v>
      </c>
      <c r="J27">
        <v>65</v>
      </c>
      <c r="K27">
        <v>100</v>
      </c>
      <c r="L27">
        <v>100</v>
      </c>
      <c r="M27">
        <v>109</v>
      </c>
      <c r="N27">
        <v>116</v>
      </c>
      <c r="O27">
        <v>109</v>
      </c>
      <c r="P27">
        <v>116</v>
      </c>
    </row>
    <row r="28" spans="1:16">
      <c r="A28">
        <v>14</v>
      </c>
      <c r="B28" s="68">
        <v>43418</v>
      </c>
      <c r="C28" t="s">
        <v>244</v>
      </c>
      <c r="D28" t="s">
        <v>260</v>
      </c>
      <c r="E28">
        <v>34</v>
      </c>
      <c r="F28">
        <v>19</v>
      </c>
      <c r="G28">
        <v>52</v>
      </c>
      <c r="H28">
        <v>48</v>
      </c>
      <c r="I28">
        <v>87</v>
      </c>
      <c r="J28">
        <v>70</v>
      </c>
      <c r="K28">
        <v>116</v>
      </c>
      <c r="L28">
        <v>96</v>
      </c>
      <c r="M28">
        <v>116</v>
      </c>
      <c r="N28">
        <v>96</v>
      </c>
    </row>
    <row r="29" spans="1:16">
      <c r="A29">
        <v>15</v>
      </c>
      <c r="B29" s="68">
        <v>43421</v>
      </c>
      <c r="C29" t="s">
        <v>244</v>
      </c>
      <c r="D29" t="s">
        <v>241</v>
      </c>
      <c r="E29">
        <v>25</v>
      </c>
      <c r="F29">
        <v>30</v>
      </c>
      <c r="G29">
        <v>42</v>
      </c>
      <c r="H29">
        <v>47</v>
      </c>
      <c r="I29">
        <v>65</v>
      </c>
      <c r="J29">
        <v>79</v>
      </c>
      <c r="K29">
        <v>100</v>
      </c>
      <c r="L29">
        <v>110</v>
      </c>
      <c r="M29">
        <v>100</v>
      </c>
      <c r="N29">
        <v>110</v>
      </c>
    </row>
    <row r="30" spans="1:16">
      <c r="A30">
        <v>20</v>
      </c>
      <c r="B30" s="68">
        <v>43431</v>
      </c>
      <c r="C30" t="s">
        <v>244</v>
      </c>
      <c r="D30" t="s">
        <v>250</v>
      </c>
      <c r="E30">
        <v>26</v>
      </c>
      <c r="F30">
        <v>26</v>
      </c>
      <c r="G30">
        <v>54</v>
      </c>
      <c r="H30">
        <v>61</v>
      </c>
      <c r="I30">
        <v>77</v>
      </c>
      <c r="J30">
        <v>81</v>
      </c>
      <c r="K30">
        <v>104</v>
      </c>
      <c r="L30">
        <v>109</v>
      </c>
      <c r="M30">
        <v>104</v>
      </c>
      <c r="N30">
        <v>109</v>
      </c>
    </row>
    <row r="31" spans="1:16">
      <c r="A31">
        <v>22</v>
      </c>
      <c r="B31" s="68">
        <v>43434</v>
      </c>
      <c r="C31" t="s">
        <v>244</v>
      </c>
      <c r="D31" t="s">
        <v>252</v>
      </c>
      <c r="E31">
        <v>25</v>
      </c>
      <c r="F31">
        <v>21</v>
      </c>
      <c r="G31">
        <v>48</v>
      </c>
      <c r="H31">
        <v>51</v>
      </c>
      <c r="I31">
        <v>71</v>
      </c>
      <c r="J31">
        <v>75</v>
      </c>
      <c r="K31">
        <v>85</v>
      </c>
      <c r="L31">
        <v>99</v>
      </c>
      <c r="M31">
        <v>85</v>
      </c>
      <c r="N31">
        <v>99</v>
      </c>
    </row>
    <row r="32" spans="1:16">
      <c r="A32">
        <v>24</v>
      </c>
      <c r="B32" s="68">
        <v>43438</v>
      </c>
      <c r="C32" t="s">
        <v>244</v>
      </c>
      <c r="D32" t="s">
        <v>262</v>
      </c>
      <c r="E32">
        <v>9</v>
      </c>
      <c r="F32">
        <v>36</v>
      </c>
      <c r="G32">
        <v>40</v>
      </c>
      <c r="H32">
        <v>68</v>
      </c>
      <c r="I32">
        <v>67</v>
      </c>
      <c r="J32">
        <v>99</v>
      </c>
      <c r="K32">
        <v>105</v>
      </c>
      <c r="L32">
        <v>122</v>
      </c>
      <c r="M32">
        <v>105</v>
      </c>
      <c r="N32">
        <v>122</v>
      </c>
    </row>
    <row r="33" spans="1:16">
      <c r="A33">
        <v>26</v>
      </c>
      <c r="B33" s="68">
        <v>43441</v>
      </c>
      <c r="C33" t="s">
        <v>244</v>
      </c>
      <c r="D33" t="s">
        <v>251</v>
      </c>
      <c r="E33">
        <v>36</v>
      </c>
      <c r="F33">
        <v>34</v>
      </c>
      <c r="G33">
        <v>50</v>
      </c>
      <c r="H33">
        <v>60</v>
      </c>
      <c r="I33">
        <v>73</v>
      </c>
      <c r="J33">
        <v>89</v>
      </c>
      <c r="K33">
        <v>98</v>
      </c>
      <c r="L33">
        <v>115</v>
      </c>
      <c r="M33">
        <v>98</v>
      </c>
      <c r="N33">
        <v>115</v>
      </c>
    </row>
    <row r="34" spans="1:16">
      <c r="A34">
        <v>27</v>
      </c>
      <c r="B34" s="68">
        <v>43444</v>
      </c>
      <c r="C34" t="s">
        <v>244</v>
      </c>
      <c r="D34" t="s">
        <v>264</v>
      </c>
      <c r="E34">
        <v>29</v>
      </c>
      <c r="F34">
        <v>21</v>
      </c>
      <c r="G34">
        <v>56</v>
      </c>
      <c r="H34">
        <v>58</v>
      </c>
      <c r="I34">
        <v>86</v>
      </c>
      <c r="J34">
        <v>88</v>
      </c>
      <c r="K34">
        <v>111</v>
      </c>
      <c r="L34">
        <v>111</v>
      </c>
      <c r="M34">
        <v>119</v>
      </c>
      <c r="N34">
        <v>123</v>
      </c>
      <c r="O34">
        <v>119</v>
      </c>
      <c r="P34">
        <v>123</v>
      </c>
    </row>
    <row r="35" spans="1:16">
      <c r="A35">
        <v>29</v>
      </c>
      <c r="B35" s="68">
        <v>43447</v>
      </c>
      <c r="C35" t="s">
        <v>244</v>
      </c>
      <c r="D35" t="s">
        <v>265</v>
      </c>
      <c r="E35">
        <v>25</v>
      </c>
      <c r="F35">
        <v>21</v>
      </c>
      <c r="G35">
        <v>50</v>
      </c>
      <c r="H35">
        <v>40</v>
      </c>
      <c r="I35">
        <v>78</v>
      </c>
      <c r="J35">
        <v>67</v>
      </c>
      <c r="K35">
        <v>99</v>
      </c>
      <c r="L35">
        <v>89</v>
      </c>
      <c r="M35">
        <v>99</v>
      </c>
      <c r="N35">
        <v>89</v>
      </c>
    </row>
    <row r="36" spans="1:16">
      <c r="A36">
        <v>30</v>
      </c>
      <c r="B36" s="68">
        <v>43449</v>
      </c>
      <c r="C36" t="s">
        <v>244</v>
      </c>
      <c r="D36" t="s">
        <v>259</v>
      </c>
      <c r="E36">
        <v>28</v>
      </c>
      <c r="F36">
        <v>30</v>
      </c>
      <c r="G36">
        <v>56</v>
      </c>
      <c r="H36">
        <v>58</v>
      </c>
      <c r="I36">
        <v>85</v>
      </c>
      <c r="J36">
        <v>82</v>
      </c>
      <c r="K36">
        <v>107</v>
      </c>
      <c r="L36">
        <v>99</v>
      </c>
      <c r="M36">
        <v>107</v>
      </c>
      <c r="N36">
        <v>99</v>
      </c>
    </row>
    <row r="37" spans="1:16">
      <c r="A37">
        <v>36</v>
      </c>
      <c r="B37" s="68">
        <v>43462</v>
      </c>
      <c r="C37" t="s">
        <v>244</v>
      </c>
      <c r="D37" t="s">
        <v>241</v>
      </c>
      <c r="E37">
        <v>29</v>
      </c>
      <c r="F37">
        <v>36</v>
      </c>
      <c r="G37">
        <v>57</v>
      </c>
      <c r="H37">
        <v>58</v>
      </c>
      <c r="I37">
        <v>84</v>
      </c>
      <c r="J37">
        <v>81</v>
      </c>
      <c r="K37">
        <v>102</v>
      </c>
      <c r="L37">
        <v>118</v>
      </c>
      <c r="M37">
        <v>102</v>
      </c>
      <c r="N37">
        <v>118</v>
      </c>
    </row>
    <row r="38" spans="1:16">
      <c r="A38">
        <v>37</v>
      </c>
      <c r="B38" s="68">
        <v>43463</v>
      </c>
      <c r="C38" t="s">
        <v>244</v>
      </c>
      <c r="D38" t="s">
        <v>263</v>
      </c>
      <c r="E38">
        <v>16</v>
      </c>
      <c r="F38">
        <v>36</v>
      </c>
      <c r="G38">
        <v>49</v>
      </c>
      <c r="H38">
        <v>62</v>
      </c>
      <c r="I38">
        <v>78</v>
      </c>
      <c r="J38">
        <v>90</v>
      </c>
      <c r="K38">
        <v>118</v>
      </c>
      <c r="L38">
        <v>122</v>
      </c>
      <c r="M38">
        <v>118</v>
      </c>
      <c r="N38">
        <v>122</v>
      </c>
    </row>
    <row r="39" spans="1:16">
      <c r="A39">
        <v>38</v>
      </c>
      <c r="B39" s="68">
        <v>43465</v>
      </c>
      <c r="C39" t="s">
        <v>244</v>
      </c>
      <c r="D39" t="s">
        <v>242</v>
      </c>
      <c r="E39">
        <v>27</v>
      </c>
      <c r="F39">
        <v>31</v>
      </c>
      <c r="G39">
        <v>52</v>
      </c>
      <c r="H39">
        <v>69</v>
      </c>
      <c r="I39">
        <v>87</v>
      </c>
      <c r="J39">
        <v>108</v>
      </c>
      <c r="K39">
        <v>109</v>
      </c>
      <c r="L39">
        <v>132</v>
      </c>
      <c r="M39">
        <v>109</v>
      </c>
      <c r="N39">
        <v>132</v>
      </c>
    </row>
    <row r="40" spans="1:16">
      <c r="A40">
        <v>39</v>
      </c>
      <c r="B40" s="68">
        <v>43467</v>
      </c>
      <c r="C40" t="s">
        <v>244</v>
      </c>
      <c r="D40" t="s">
        <v>239</v>
      </c>
      <c r="E40">
        <v>32</v>
      </c>
      <c r="F40">
        <v>44</v>
      </c>
      <c r="G40">
        <v>49</v>
      </c>
      <c r="H40">
        <v>72</v>
      </c>
      <c r="I40">
        <v>87</v>
      </c>
      <c r="J40">
        <v>104</v>
      </c>
      <c r="K40">
        <v>127</v>
      </c>
      <c r="L40">
        <v>132</v>
      </c>
      <c r="M40">
        <v>127</v>
      </c>
      <c r="N40">
        <v>132</v>
      </c>
    </row>
  </sheetData>
  <sortState xmlns:xlrd2="http://schemas.microsoft.com/office/spreadsheetml/2017/richdata2" ref="A2:R66">
    <sortCondition ref="C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2"/>
  <dimension ref="A1:R40"/>
  <sheetViews>
    <sheetView topLeftCell="O1" workbookViewId="0">
      <selection activeCell="U3" sqref="U3"/>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20" max="20" width="19.1796875" customWidth="1"/>
    <col min="21" max="21" width="23.2695312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43389</v>
      </c>
      <c r="C2" t="s">
        <v>243</v>
      </c>
      <c r="D2" t="s">
        <v>240</v>
      </c>
      <c r="E2">
        <v>21</v>
      </c>
      <c r="F2">
        <v>21</v>
      </c>
      <c r="G2">
        <v>42</v>
      </c>
      <c r="H2">
        <v>47</v>
      </c>
      <c r="I2">
        <v>66</v>
      </c>
      <c r="J2">
        <v>77</v>
      </c>
      <c r="K2">
        <v>87</v>
      </c>
      <c r="L2">
        <v>105</v>
      </c>
      <c r="M2">
        <v>87</v>
      </c>
      <c r="N2">
        <v>105</v>
      </c>
    </row>
    <row r="3" spans="1:18">
      <c r="A3">
        <v>4</v>
      </c>
      <c r="B3" s="68">
        <v>43396</v>
      </c>
      <c r="C3" t="s">
        <v>243</v>
      </c>
      <c r="D3" t="s">
        <v>248</v>
      </c>
      <c r="E3">
        <v>28</v>
      </c>
      <c r="F3">
        <v>27</v>
      </c>
      <c r="G3">
        <v>64</v>
      </c>
      <c r="H3">
        <v>61</v>
      </c>
      <c r="I3">
        <v>94</v>
      </c>
      <c r="J3">
        <v>87</v>
      </c>
      <c r="K3">
        <v>120</v>
      </c>
      <c r="L3">
        <v>120</v>
      </c>
      <c r="M3">
        <v>132</v>
      </c>
      <c r="N3">
        <v>133</v>
      </c>
      <c r="O3">
        <v>132</v>
      </c>
      <c r="P3">
        <v>133</v>
      </c>
    </row>
    <row r="4" spans="1:18">
      <c r="A4">
        <v>5</v>
      </c>
      <c r="B4" s="68">
        <v>43397</v>
      </c>
      <c r="C4" t="s">
        <v>243</v>
      </c>
      <c r="D4" t="s">
        <v>245</v>
      </c>
      <c r="E4">
        <v>34</v>
      </c>
      <c r="F4">
        <v>22</v>
      </c>
      <c r="G4">
        <v>64</v>
      </c>
      <c r="H4">
        <v>71</v>
      </c>
      <c r="I4">
        <v>81</v>
      </c>
      <c r="J4">
        <v>92</v>
      </c>
      <c r="K4">
        <v>108</v>
      </c>
      <c r="L4">
        <v>123</v>
      </c>
      <c r="M4">
        <v>108</v>
      </c>
      <c r="N4">
        <v>123</v>
      </c>
    </row>
    <row r="5" spans="1:18">
      <c r="A5">
        <v>8</v>
      </c>
      <c r="B5" s="68">
        <v>43403</v>
      </c>
      <c r="C5" t="s">
        <v>243</v>
      </c>
      <c r="D5" t="s">
        <v>256</v>
      </c>
      <c r="E5">
        <v>26</v>
      </c>
      <c r="F5">
        <v>35</v>
      </c>
      <c r="G5">
        <v>53</v>
      </c>
      <c r="H5">
        <v>67</v>
      </c>
      <c r="I5">
        <v>86</v>
      </c>
      <c r="J5">
        <v>105</v>
      </c>
      <c r="K5">
        <v>112</v>
      </c>
      <c r="L5">
        <v>129</v>
      </c>
      <c r="M5">
        <v>112</v>
      </c>
      <c r="N5">
        <v>129</v>
      </c>
    </row>
    <row r="6" spans="1:18">
      <c r="A6">
        <v>11</v>
      </c>
      <c r="B6" s="68">
        <v>43408</v>
      </c>
      <c r="C6" t="s">
        <v>243</v>
      </c>
      <c r="D6" t="s">
        <v>247</v>
      </c>
      <c r="E6">
        <v>21</v>
      </c>
      <c r="F6">
        <v>18</v>
      </c>
      <c r="G6">
        <v>47</v>
      </c>
      <c r="H6">
        <v>51</v>
      </c>
      <c r="I6">
        <v>75</v>
      </c>
      <c r="J6">
        <v>92</v>
      </c>
      <c r="K6">
        <v>97</v>
      </c>
      <c r="L6">
        <v>122</v>
      </c>
      <c r="M6">
        <v>97</v>
      </c>
      <c r="N6">
        <v>122</v>
      </c>
    </row>
    <row r="7" spans="1:18">
      <c r="A7">
        <v>12</v>
      </c>
      <c r="B7" s="68">
        <v>43411</v>
      </c>
      <c r="C7" t="s">
        <v>243</v>
      </c>
      <c r="D7" t="s">
        <v>250</v>
      </c>
      <c r="E7">
        <v>29</v>
      </c>
      <c r="F7">
        <v>23</v>
      </c>
      <c r="G7">
        <v>50</v>
      </c>
      <c r="H7">
        <v>50</v>
      </c>
      <c r="I7">
        <v>78</v>
      </c>
      <c r="J7">
        <v>71</v>
      </c>
      <c r="K7">
        <v>100</v>
      </c>
      <c r="L7">
        <v>94</v>
      </c>
      <c r="M7">
        <v>100</v>
      </c>
      <c r="N7">
        <v>94</v>
      </c>
    </row>
    <row r="8" spans="1:18">
      <c r="A8">
        <v>14</v>
      </c>
      <c r="B8" s="68">
        <v>43414</v>
      </c>
      <c r="C8" t="s">
        <v>243</v>
      </c>
      <c r="D8" t="s">
        <v>249</v>
      </c>
      <c r="E8">
        <v>26</v>
      </c>
      <c r="F8">
        <v>21</v>
      </c>
      <c r="G8">
        <v>63</v>
      </c>
      <c r="H8">
        <v>50</v>
      </c>
      <c r="I8">
        <v>80</v>
      </c>
      <c r="J8">
        <v>74</v>
      </c>
      <c r="K8">
        <v>102</v>
      </c>
      <c r="L8">
        <v>102</v>
      </c>
      <c r="M8">
        <v>106</v>
      </c>
      <c r="N8">
        <v>112</v>
      </c>
      <c r="O8">
        <v>106</v>
      </c>
      <c r="P8">
        <v>112</v>
      </c>
    </row>
    <row r="9" spans="1:18">
      <c r="A9">
        <v>15</v>
      </c>
      <c r="B9" s="68">
        <v>43416</v>
      </c>
      <c r="C9" t="s">
        <v>243</v>
      </c>
      <c r="D9" t="s">
        <v>251</v>
      </c>
      <c r="E9">
        <v>32</v>
      </c>
      <c r="F9">
        <v>26</v>
      </c>
      <c r="G9">
        <v>64</v>
      </c>
      <c r="H9">
        <v>62</v>
      </c>
      <c r="I9">
        <v>96</v>
      </c>
      <c r="J9">
        <v>90</v>
      </c>
      <c r="K9">
        <v>124</v>
      </c>
      <c r="L9">
        <v>114</v>
      </c>
      <c r="M9">
        <v>124</v>
      </c>
      <c r="N9">
        <v>114</v>
      </c>
    </row>
    <row r="10" spans="1:18">
      <c r="A10">
        <v>16</v>
      </c>
      <c r="B10" s="68">
        <v>43418</v>
      </c>
      <c r="C10" t="s">
        <v>243</v>
      </c>
      <c r="D10" t="s">
        <v>252</v>
      </c>
      <c r="E10">
        <v>30</v>
      </c>
      <c r="F10">
        <v>27</v>
      </c>
      <c r="G10">
        <v>52</v>
      </c>
      <c r="H10">
        <v>53</v>
      </c>
      <c r="I10">
        <v>87</v>
      </c>
      <c r="J10">
        <v>76</v>
      </c>
      <c r="K10">
        <v>106</v>
      </c>
      <c r="L10">
        <v>111</v>
      </c>
      <c r="M10">
        <v>106</v>
      </c>
      <c r="N10">
        <v>111</v>
      </c>
    </row>
    <row r="11" spans="1:18">
      <c r="A11">
        <v>18</v>
      </c>
      <c r="B11" s="68">
        <v>43421</v>
      </c>
      <c r="C11" t="s">
        <v>243</v>
      </c>
      <c r="D11" t="s">
        <v>246</v>
      </c>
      <c r="E11">
        <v>42</v>
      </c>
      <c r="F11">
        <v>30</v>
      </c>
      <c r="G11">
        <v>63</v>
      </c>
      <c r="H11">
        <v>56</v>
      </c>
      <c r="I11">
        <v>82</v>
      </c>
      <c r="J11">
        <v>86</v>
      </c>
      <c r="K11">
        <v>110</v>
      </c>
      <c r="L11">
        <v>110</v>
      </c>
      <c r="M11">
        <v>122</v>
      </c>
      <c r="N11">
        <v>119</v>
      </c>
      <c r="O11">
        <v>122</v>
      </c>
      <c r="P11">
        <v>119</v>
      </c>
    </row>
    <row r="12" spans="1:18">
      <c r="A12">
        <v>22</v>
      </c>
      <c r="B12" s="68">
        <v>43429</v>
      </c>
      <c r="C12" t="s">
        <v>243</v>
      </c>
      <c r="D12" t="s">
        <v>247</v>
      </c>
      <c r="E12">
        <v>25</v>
      </c>
      <c r="F12">
        <v>32</v>
      </c>
      <c r="G12">
        <v>54</v>
      </c>
      <c r="H12">
        <v>68</v>
      </c>
      <c r="I12">
        <v>89</v>
      </c>
      <c r="J12">
        <v>102</v>
      </c>
      <c r="K12">
        <v>127</v>
      </c>
      <c r="L12">
        <v>125</v>
      </c>
      <c r="M12">
        <v>127</v>
      </c>
      <c r="N12">
        <v>125</v>
      </c>
    </row>
    <row r="13" spans="1:18">
      <c r="A13">
        <v>26</v>
      </c>
      <c r="B13" s="68">
        <v>43439</v>
      </c>
      <c r="C13" t="s">
        <v>243</v>
      </c>
      <c r="D13" t="s">
        <v>256</v>
      </c>
      <c r="E13">
        <v>29</v>
      </c>
      <c r="F13">
        <v>23</v>
      </c>
      <c r="G13">
        <v>49</v>
      </c>
      <c r="H13">
        <v>53</v>
      </c>
      <c r="I13">
        <v>77</v>
      </c>
      <c r="J13">
        <v>78</v>
      </c>
      <c r="K13">
        <v>102</v>
      </c>
      <c r="L13">
        <v>113</v>
      </c>
      <c r="M13">
        <v>102</v>
      </c>
      <c r="N13">
        <v>113</v>
      </c>
    </row>
    <row r="14" spans="1:18">
      <c r="A14">
        <v>27</v>
      </c>
      <c r="B14" s="68">
        <v>43441</v>
      </c>
      <c r="C14" t="s">
        <v>243</v>
      </c>
      <c r="D14" t="s">
        <v>248</v>
      </c>
      <c r="E14">
        <v>28</v>
      </c>
      <c r="F14">
        <v>27</v>
      </c>
      <c r="G14">
        <v>56</v>
      </c>
      <c r="H14">
        <v>68</v>
      </c>
      <c r="I14">
        <v>89</v>
      </c>
      <c r="J14">
        <v>90</v>
      </c>
      <c r="K14">
        <v>117</v>
      </c>
      <c r="L14">
        <v>111</v>
      </c>
      <c r="M14">
        <v>117</v>
      </c>
      <c r="N14">
        <v>111</v>
      </c>
    </row>
    <row r="15" spans="1:18">
      <c r="A15">
        <v>31</v>
      </c>
      <c r="B15" s="68">
        <v>43450</v>
      </c>
      <c r="C15" t="s">
        <v>243</v>
      </c>
      <c r="D15" t="s">
        <v>255</v>
      </c>
      <c r="E15">
        <v>29</v>
      </c>
      <c r="F15">
        <v>36</v>
      </c>
      <c r="G15">
        <v>65</v>
      </c>
      <c r="H15">
        <v>58</v>
      </c>
      <c r="I15">
        <v>89</v>
      </c>
      <c r="J15">
        <v>85</v>
      </c>
      <c r="K15">
        <v>128</v>
      </c>
      <c r="L15">
        <v>105</v>
      </c>
      <c r="M15">
        <v>128</v>
      </c>
      <c r="N15">
        <v>105</v>
      </c>
    </row>
    <row r="16" spans="1:18">
      <c r="A16">
        <v>32</v>
      </c>
      <c r="B16" s="68">
        <v>43451</v>
      </c>
      <c r="C16" t="s">
        <v>243</v>
      </c>
      <c r="D16" t="s">
        <v>260</v>
      </c>
      <c r="E16">
        <v>32</v>
      </c>
      <c r="F16">
        <v>29</v>
      </c>
      <c r="G16">
        <v>49</v>
      </c>
      <c r="H16">
        <v>60</v>
      </c>
      <c r="I16">
        <v>71</v>
      </c>
      <c r="J16">
        <v>93</v>
      </c>
      <c r="K16">
        <v>96</v>
      </c>
      <c r="L16">
        <v>123</v>
      </c>
      <c r="M16">
        <v>96</v>
      </c>
      <c r="N16">
        <v>123</v>
      </c>
    </row>
    <row r="17" spans="1:16">
      <c r="A17">
        <v>35</v>
      </c>
      <c r="B17" s="68">
        <v>43459</v>
      </c>
      <c r="C17" t="s">
        <v>243</v>
      </c>
      <c r="D17" t="s">
        <v>240</v>
      </c>
      <c r="E17">
        <v>25</v>
      </c>
      <c r="F17">
        <v>32</v>
      </c>
      <c r="G17">
        <v>51</v>
      </c>
      <c r="H17">
        <v>57</v>
      </c>
      <c r="I17">
        <v>89</v>
      </c>
      <c r="J17">
        <v>86</v>
      </c>
      <c r="K17">
        <v>108</v>
      </c>
      <c r="L17">
        <v>108</v>
      </c>
      <c r="M17">
        <v>114</v>
      </c>
      <c r="N17">
        <v>121</v>
      </c>
      <c r="O17">
        <v>114</v>
      </c>
      <c r="P17">
        <v>121</v>
      </c>
    </row>
    <row r="18" spans="1:16">
      <c r="A18">
        <v>36</v>
      </c>
      <c r="B18" s="68">
        <v>43461</v>
      </c>
      <c r="C18" t="s">
        <v>243</v>
      </c>
      <c r="D18" t="s">
        <v>261</v>
      </c>
      <c r="E18">
        <v>22</v>
      </c>
      <c r="F18">
        <v>29</v>
      </c>
      <c r="G18">
        <v>57</v>
      </c>
      <c r="H18">
        <v>52</v>
      </c>
      <c r="I18">
        <v>95</v>
      </c>
      <c r="J18">
        <v>79</v>
      </c>
      <c r="K18">
        <v>114</v>
      </c>
      <c r="L18">
        <v>97</v>
      </c>
      <c r="M18">
        <v>114</v>
      </c>
      <c r="N18">
        <v>97</v>
      </c>
    </row>
    <row r="19" spans="1:16">
      <c r="A19">
        <v>37</v>
      </c>
      <c r="B19" s="68">
        <v>43464</v>
      </c>
      <c r="C19" t="s">
        <v>243</v>
      </c>
      <c r="D19" t="s">
        <v>270</v>
      </c>
      <c r="E19">
        <v>20</v>
      </c>
      <c r="F19">
        <v>31</v>
      </c>
      <c r="G19">
        <v>41</v>
      </c>
      <c r="H19">
        <v>70</v>
      </c>
      <c r="I19">
        <v>67</v>
      </c>
      <c r="J19">
        <v>106</v>
      </c>
      <c r="K19">
        <v>95</v>
      </c>
      <c r="L19">
        <v>129</v>
      </c>
      <c r="M19">
        <v>95</v>
      </c>
      <c r="N19">
        <v>129</v>
      </c>
    </row>
    <row r="20" spans="1:16">
      <c r="A20">
        <v>38</v>
      </c>
      <c r="B20" s="68">
        <v>43466</v>
      </c>
      <c r="C20" t="s">
        <v>243</v>
      </c>
      <c r="D20" t="s">
        <v>264</v>
      </c>
      <c r="E20">
        <v>41</v>
      </c>
      <c r="F20">
        <v>28</v>
      </c>
      <c r="G20">
        <v>76</v>
      </c>
      <c r="H20">
        <v>58</v>
      </c>
      <c r="I20">
        <v>101</v>
      </c>
      <c r="J20">
        <v>88</v>
      </c>
      <c r="K20">
        <v>119</v>
      </c>
      <c r="L20">
        <v>113</v>
      </c>
      <c r="M20">
        <v>119</v>
      </c>
      <c r="N20">
        <v>113</v>
      </c>
    </row>
    <row r="21" spans="1:16">
      <c r="A21">
        <v>39</v>
      </c>
      <c r="B21" s="68">
        <v>43467</v>
      </c>
      <c r="C21" t="s">
        <v>243</v>
      </c>
      <c r="D21" t="s">
        <v>266</v>
      </c>
      <c r="E21">
        <v>44</v>
      </c>
      <c r="F21">
        <v>32</v>
      </c>
      <c r="G21">
        <v>72</v>
      </c>
      <c r="H21">
        <v>49</v>
      </c>
      <c r="I21">
        <v>104</v>
      </c>
      <c r="J21">
        <v>87</v>
      </c>
      <c r="K21">
        <v>132</v>
      </c>
      <c r="L21">
        <v>127</v>
      </c>
      <c r="M21">
        <v>132</v>
      </c>
      <c r="N21">
        <v>127</v>
      </c>
    </row>
    <row r="22" spans="1:16">
      <c r="A22">
        <v>2</v>
      </c>
      <c r="B22" s="68">
        <v>43391</v>
      </c>
      <c r="C22" t="s">
        <v>244</v>
      </c>
      <c r="D22" t="s">
        <v>267</v>
      </c>
      <c r="E22">
        <v>38</v>
      </c>
      <c r="F22">
        <v>41</v>
      </c>
      <c r="G22">
        <v>65</v>
      </c>
      <c r="H22">
        <v>58</v>
      </c>
      <c r="I22">
        <v>102</v>
      </c>
      <c r="J22">
        <v>76</v>
      </c>
      <c r="K22">
        <v>127</v>
      </c>
      <c r="L22">
        <v>108</v>
      </c>
      <c r="M22">
        <v>127</v>
      </c>
      <c r="N22">
        <v>108</v>
      </c>
    </row>
    <row r="23" spans="1:16">
      <c r="A23">
        <v>3</v>
      </c>
      <c r="B23" s="68">
        <v>43393</v>
      </c>
      <c r="C23" t="s">
        <v>244</v>
      </c>
      <c r="D23" t="s">
        <v>252</v>
      </c>
      <c r="E23">
        <v>30</v>
      </c>
      <c r="F23">
        <v>32</v>
      </c>
      <c r="G23">
        <v>63</v>
      </c>
      <c r="H23">
        <v>52</v>
      </c>
      <c r="I23">
        <v>89</v>
      </c>
      <c r="J23">
        <v>86</v>
      </c>
      <c r="K23">
        <v>116</v>
      </c>
      <c r="L23">
        <v>115</v>
      </c>
      <c r="M23">
        <v>116</v>
      </c>
      <c r="N23">
        <v>115</v>
      </c>
    </row>
    <row r="24" spans="1:16">
      <c r="A24">
        <v>6</v>
      </c>
      <c r="B24" s="68">
        <v>43400</v>
      </c>
      <c r="C24" t="s">
        <v>244</v>
      </c>
      <c r="D24" t="s">
        <v>246</v>
      </c>
      <c r="E24">
        <v>32</v>
      </c>
      <c r="F24">
        <v>28</v>
      </c>
      <c r="G24">
        <v>63</v>
      </c>
      <c r="H24">
        <v>62</v>
      </c>
      <c r="I24">
        <v>83</v>
      </c>
      <c r="J24">
        <v>85</v>
      </c>
      <c r="K24">
        <v>105</v>
      </c>
      <c r="L24">
        <v>103</v>
      </c>
      <c r="M24">
        <v>105</v>
      </c>
      <c r="N24">
        <v>103</v>
      </c>
    </row>
    <row r="25" spans="1:16">
      <c r="A25">
        <v>7</v>
      </c>
      <c r="B25" s="68">
        <v>43402</v>
      </c>
      <c r="C25" t="s">
        <v>244</v>
      </c>
      <c r="D25" t="s">
        <v>253</v>
      </c>
      <c r="E25">
        <v>20</v>
      </c>
      <c r="F25">
        <v>25</v>
      </c>
      <c r="G25">
        <v>47</v>
      </c>
      <c r="H25">
        <v>47</v>
      </c>
      <c r="I25">
        <v>78</v>
      </c>
      <c r="J25">
        <v>60</v>
      </c>
      <c r="K25">
        <v>113</v>
      </c>
      <c r="L25">
        <v>92</v>
      </c>
      <c r="M25">
        <v>113</v>
      </c>
      <c r="N25">
        <v>92</v>
      </c>
    </row>
    <row r="26" spans="1:16">
      <c r="A26">
        <v>9</v>
      </c>
      <c r="B26" s="68">
        <v>43405</v>
      </c>
      <c r="C26" t="s">
        <v>244</v>
      </c>
      <c r="D26" t="s">
        <v>264</v>
      </c>
      <c r="E26">
        <v>34</v>
      </c>
      <c r="F26">
        <v>30</v>
      </c>
      <c r="G26">
        <v>72</v>
      </c>
      <c r="H26">
        <v>57</v>
      </c>
      <c r="I26">
        <v>90</v>
      </c>
      <c r="J26">
        <v>86</v>
      </c>
      <c r="K26">
        <v>122</v>
      </c>
      <c r="L26">
        <v>113</v>
      </c>
      <c r="M26">
        <v>122</v>
      </c>
      <c r="N26">
        <v>113</v>
      </c>
    </row>
    <row r="27" spans="1:16">
      <c r="A27">
        <v>10</v>
      </c>
      <c r="B27" s="68">
        <v>43407</v>
      </c>
      <c r="C27" t="s">
        <v>244</v>
      </c>
      <c r="D27" t="s">
        <v>248</v>
      </c>
      <c r="E27">
        <v>30</v>
      </c>
      <c r="F27">
        <v>24</v>
      </c>
      <c r="G27">
        <v>69</v>
      </c>
      <c r="H27">
        <v>47</v>
      </c>
      <c r="I27">
        <v>85</v>
      </c>
      <c r="J27">
        <v>72</v>
      </c>
      <c r="K27">
        <v>109</v>
      </c>
      <c r="L27">
        <v>99</v>
      </c>
      <c r="M27">
        <v>109</v>
      </c>
      <c r="N27">
        <v>99</v>
      </c>
    </row>
    <row r="28" spans="1:16">
      <c r="A28">
        <v>13</v>
      </c>
      <c r="B28" s="68">
        <v>43413</v>
      </c>
      <c r="C28" t="s">
        <v>244</v>
      </c>
      <c r="D28" t="s">
        <v>246</v>
      </c>
      <c r="E28">
        <v>33</v>
      </c>
      <c r="F28">
        <v>33</v>
      </c>
      <c r="G28">
        <v>65</v>
      </c>
      <c r="H28">
        <v>50</v>
      </c>
      <c r="I28">
        <v>96</v>
      </c>
      <c r="J28">
        <v>85</v>
      </c>
      <c r="K28">
        <v>119</v>
      </c>
      <c r="L28">
        <v>119</v>
      </c>
      <c r="M28">
        <v>133</v>
      </c>
      <c r="N28">
        <v>132</v>
      </c>
      <c r="O28">
        <v>133</v>
      </c>
      <c r="P28">
        <v>132</v>
      </c>
    </row>
    <row r="29" spans="1:16">
      <c r="A29">
        <v>17</v>
      </c>
      <c r="B29" s="68">
        <v>43420</v>
      </c>
      <c r="C29" t="s">
        <v>244</v>
      </c>
      <c r="D29" t="s">
        <v>261</v>
      </c>
      <c r="E29">
        <v>38</v>
      </c>
      <c r="F29">
        <v>24</v>
      </c>
      <c r="G29">
        <v>54</v>
      </c>
      <c r="H29">
        <v>52</v>
      </c>
      <c r="I29">
        <v>86</v>
      </c>
      <c r="J29">
        <v>84</v>
      </c>
      <c r="K29">
        <v>113</v>
      </c>
      <c r="L29">
        <v>107</v>
      </c>
      <c r="M29">
        <v>113</v>
      </c>
      <c r="N29">
        <v>107</v>
      </c>
    </row>
    <row r="30" spans="1:16">
      <c r="A30">
        <v>19</v>
      </c>
      <c r="B30" s="68">
        <v>43423</v>
      </c>
      <c r="C30" t="s">
        <v>244</v>
      </c>
      <c r="D30" t="s">
        <v>266</v>
      </c>
      <c r="E30">
        <v>26</v>
      </c>
      <c r="F30">
        <v>36</v>
      </c>
      <c r="G30">
        <v>57</v>
      </c>
      <c r="H30">
        <v>62</v>
      </c>
      <c r="I30">
        <v>92</v>
      </c>
      <c r="J30">
        <v>86</v>
      </c>
      <c r="K30">
        <v>119</v>
      </c>
      <c r="L30">
        <v>114</v>
      </c>
      <c r="M30">
        <v>119</v>
      </c>
      <c r="N30">
        <v>114</v>
      </c>
    </row>
    <row r="31" spans="1:16">
      <c r="A31">
        <v>20</v>
      </c>
      <c r="B31" s="68">
        <v>43425</v>
      </c>
      <c r="C31" t="s">
        <v>244</v>
      </c>
      <c r="D31" t="s">
        <v>257</v>
      </c>
      <c r="E31">
        <v>38</v>
      </c>
      <c r="F31">
        <v>23</v>
      </c>
      <c r="G31">
        <v>67</v>
      </c>
      <c r="H31">
        <v>57</v>
      </c>
      <c r="I31">
        <v>96</v>
      </c>
      <c r="J31">
        <v>87</v>
      </c>
      <c r="K31">
        <v>121</v>
      </c>
      <c r="L31">
        <v>120</v>
      </c>
      <c r="M31">
        <v>121</v>
      </c>
      <c r="N31">
        <v>120</v>
      </c>
    </row>
    <row r="32" spans="1:16">
      <c r="A32">
        <v>21</v>
      </c>
      <c r="B32" s="68">
        <v>43427</v>
      </c>
      <c r="C32" t="s">
        <v>244</v>
      </c>
      <c r="D32" t="s">
        <v>255</v>
      </c>
      <c r="E32">
        <v>23</v>
      </c>
      <c r="F32">
        <v>31</v>
      </c>
      <c r="G32">
        <v>54</v>
      </c>
      <c r="H32">
        <v>54</v>
      </c>
      <c r="I32">
        <v>83</v>
      </c>
      <c r="J32">
        <v>84</v>
      </c>
      <c r="K32">
        <v>112</v>
      </c>
      <c r="L32">
        <v>121</v>
      </c>
      <c r="M32">
        <v>112</v>
      </c>
      <c r="N32">
        <v>121</v>
      </c>
    </row>
    <row r="33" spans="1:14">
      <c r="A33">
        <v>23</v>
      </c>
      <c r="B33" s="68">
        <v>43432</v>
      </c>
      <c r="C33" t="s">
        <v>244</v>
      </c>
      <c r="D33" t="s">
        <v>254</v>
      </c>
      <c r="E33">
        <v>41</v>
      </c>
      <c r="F33">
        <v>27</v>
      </c>
      <c r="G33">
        <v>68</v>
      </c>
      <c r="H33">
        <v>48</v>
      </c>
      <c r="I33">
        <v>93</v>
      </c>
      <c r="J33">
        <v>68</v>
      </c>
      <c r="K33">
        <v>117</v>
      </c>
      <c r="L33">
        <v>91</v>
      </c>
      <c r="M33">
        <v>117</v>
      </c>
      <c r="N33">
        <v>91</v>
      </c>
    </row>
    <row r="34" spans="1:14">
      <c r="A34">
        <v>24</v>
      </c>
      <c r="B34" s="68">
        <v>43434</v>
      </c>
      <c r="C34" t="s">
        <v>244</v>
      </c>
      <c r="D34" t="s">
        <v>268</v>
      </c>
      <c r="E34">
        <v>31</v>
      </c>
      <c r="F34">
        <v>19</v>
      </c>
      <c r="G34">
        <v>68</v>
      </c>
      <c r="H34">
        <v>46</v>
      </c>
      <c r="I34">
        <v>98</v>
      </c>
      <c r="J34">
        <v>70</v>
      </c>
      <c r="K34">
        <v>123</v>
      </c>
      <c r="L34">
        <v>98</v>
      </c>
      <c r="M34">
        <v>123</v>
      </c>
      <c r="N34">
        <v>98</v>
      </c>
    </row>
    <row r="35" spans="1:14">
      <c r="A35">
        <v>25</v>
      </c>
      <c r="B35" s="68">
        <v>43436</v>
      </c>
      <c r="C35" t="s">
        <v>244</v>
      </c>
      <c r="D35" t="s">
        <v>249</v>
      </c>
      <c r="E35">
        <v>26</v>
      </c>
      <c r="F35">
        <v>25</v>
      </c>
      <c r="G35">
        <v>54</v>
      </c>
      <c r="H35">
        <v>44</v>
      </c>
      <c r="I35">
        <v>78</v>
      </c>
      <c r="J35">
        <v>68</v>
      </c>
      <c r="K35">
        <v>103</v>
      </c>
      <c r="L35">
        <v>95</v>
      </c>
      <c r="M35">
        <v>103</v>
      </c>
      <c r="N35">
        <v>95</v>
      </c>
    </row>
    <row r="36" spans="1:14">
      <c r="A36">
        <v>28</v>
      </c>
      <c r="B36" s="68">
        <v>43444</v>
      </c>
      <c r="C36" t="s">
        <v>244</v>
      </c>
      <c r="D36" t="s">
        <v>248</v>
      </c>
      <c r="E36">
        <v>38</v>
      </c>
      <c r="F36">
        <v>29</v>
      </c>
      <c r="G36">
        <v>56</v>
      </c>
      <c r="H36">
        <v>47</v>
      </c>
      <c r="I36">
        <v>87</v>
      </c>
      <c r="J36">
        <v>76</v>
      </c>
      <c r="K36">
        <v>116</v>
      </c>
      <c r="L36">
        <v>102</v>
      </c>
      <c r="M36">
        <v>116</v>
      </c>
      <c r="N36">
        <v>102</v>
      </c>
    </row>
    <row r="37" spans="1:14">
      <c r="A37">
        <v>29</v>
      </c>
      <c r="B37" s="68">
        <v>43446</v>
      </c>
      <c r="C37" t="s">
        <v>244</v>
      </c>
      <c r="D37" t="s">
        <v>247</v>
      </c>
      <c r="E37">
        <v>29</v>
      </c>
      <c r="F37">
        <v>31</v>
      </c>
      <c r="G37">
        <v>56</v>
      </c>
      <c r="H37">
        <v>57</v>
      </c>
      <c r="I37">
        <v>84</v>
      </c>
      <c r="J37">
        <v>94</v>
      </c>
      <c r="K37">
        <v>124</v>
      </c>
      <c r="L37">
        <v>127</v>
      </c>
      <c r="M37">
        <v>124</v>
      </c>
      <c r="N37">
        <v>127</v>
      </c>
    </row>
    <row r="38" spans="1:14">
      <c r="A38">
        <v>30</v>
      </c>
      <c r="B38" s="68">
        <v>43448</v>
      </c>
      <c r="C38" t="s">
        <v>244</v>
      </c>
      <c r="D38" t="s">
        <v>250</v>
      </c>
      <c r="E38">
        <v>34</v>
      </c>
      <c r="F38">
        <v>24</v>
      </c>
      <c r="G38">
        <v>59</v>
      </c>
      <c r="H38">
        <v>49</v>
      </c>
      <c r="I38">
        <v>77</v>
      </c>
      <c r="J38">
        <v>80</v>
      </c>
      <c r="K38">
        <v>101</v>
      </c>
      <c r="L38">
        <v>113</v>
      </c>
      <c r="M38">
        <v>101</v>
      </c>
      <c r="N38">
        <v>113</v>
      </c>
    </row>
    <row r="39" spans="1:14">
      <c r="A39">
        <v>33</v>
      </c>
      <c r="B39" s="68">
        <v>43453</v>
      </c>
      <c r="C39" t="s">
        <v>244</v>
      </c>
      <c r="D39" t="s">
        <v>254</v>
      </c>
      <c r="E39">
        <v>38</v>
      </c>
      <c r="F39">
        <v>33</v>
      </c>
      <c r="G39">
        <v>69</v>
      </c>
      <c r="H39">
        <v>61</v>
      </c>
      <c r="I39">
        <v>99</v>
      </c>
      <c r="J39">
        <v>85</v>
      </c>
      <c r="K39">
        <v>131</v>
      </c>
      <c r="L39">
        <v>109</v>
      </c>
      <c r="M39">
        <v>131</v>
      </c>
      <c r="N39">
        <v>109</v>
      </c>
    </row>
    <row r="40" spans="1:14">
      <c r="A40">
        <v>34</v>
      </c>
      <c r="B40" s="68">
        <v>43456</v>
      </c>
      <c r="C40" t="s">
        <v>244</v>
      </c>
      <c r="D40" t="s">
        <v>256</v>
      </c>
      <c r="E40">
        <v>29</v>
      </c>
      <c r="F40">
        <v>30</v>
      </c>
      <c r="G40">
        <v>65</v>
      </c>
      <c r="H40">
        <v>59</v>
      </c>
      <c r="I40">
        <v>91</v>
      </c>
      <c r="J40">
        <v>79</v>
      </c>
      <c r="K40">
        <v>126</v>
      </c>
      <c r="L40">
        <v>101</v>
      </c>
      <c r="M40">
        <v>126</v>
      </c>
      <c r="N40">
        <v>101</v>
      </c>
    </row>
  </sheetData>
  <sortState xmlns:xlrd2="http://schemas.microsoft.com/office/spreadsheetml/2017/richdata2" ref="A2:R67">
    <sortCondition ref="C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C25CC-D4F8-4AA1-8301-99B8928F081A}">
  <sheetPr>
    <pageSetUpPr autoPageBreaks="0"/>
  </sheetPr>
  <dimension ref="A1:A5"/>
  <sheetViews>
    <sheetView showGridLines="0" showRowColHeaders="0" workbookViewId="0"/>
  </sheetViews>
  <sheetFormatPr defaultColWidth="11.1796875" defaultRowHeight="15" customHeight="1"/>
  <cols>
    <col min="1" max="1" width="115.7265625" style="17" customWidth="1"/>
    <col min="2" max="2" width="3.54296875" style="17" customWidth="1"/>
    <col min="3" max="16384" width="11.1796875" style="17"/>
  </cols>
  <sheetData>
    <row r="1" spans="1:1" ht="15" customHeight="1">
      <c r="A1" s="21" t="s">
        <v>144</v>
      </c>
    </row>
    <row r="2" spans="1:1" ht="59.5">
      <c r="A2" s="20" t="s">
        <v>143</v>
      </c>
    </row>
    <row r="3" spans="1:1" ht="44">
      <c r="A3" s="18" t="s">
        <v>142</v>
      </c>
    </row>
    <row r="4" spans="1:1" ht="200.25" customHeight="1">
      <c r="A4" s="19" t="s">
        <v>141</v>
      </c>
    </row>
    <row r="5" spans="1:1" ht="15" customHeight="1">
      <c r="A5" s="18"/>
    </row>
  </sheetData>
  <pageMargins left="0.7" right="0.7" top="0.75" bottom="0.75" header="0.3" footer="0.3"/>
  <pageSetup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341D-3C5C-47B5-8B23-3472153554C8}">
  <sheetPr>
    <pageSetUpPr fitToPage="1"/>
  </sheetPr>
  <dimension ref="A1:I17"/>
  <sheetViews>
    <sheetView showGridLines="0" showRowColHeaders="0" zoomScaleNormal="100" workbookViewId="0"/>
  </sheetViews>
  <sheetFormatPr defaultColWidth="9.1796875" defaultRowHeight="14.5"/>
  <cols>
    <col min="1" max="1" width="9.1796875" style="22"/>
    <col min="2" max="4" width="9.1796875" style="17"/>
    <col min="5" max="5" width="10.26953125" style="17" customWidth="1"/>
    <col min="6" max="7" width="9.1796875" style="17"/>
    <col min="8" max="8" width="10.7265625" style="17" customWidth="1"/>
    <col min="9" max="9" width="14" style="17" customWidth="1"/>
    <col min="10" max="16384" width="9.1796875" style="17"/>
  </cols>
  <sheetData>
    <row r="1" spans="1:9">
      <c r="A1" s="22" t="s">
        <v>164</v>
      </c>
    </row>
    <row r="2" spans="1:9">
      <c r="A2" s="22" t="s">
        <v>163</v>
      </c>
    </row>
    <row r="3" spans="1:9">
      <c r="A3" s="22" t="s">
        <v>162</v>
      </c>
    </row>
    <row r="4" spans="1:9">
      <c r="A4" s="22" t="s">
        <v>161</v>
      </c>
    </row>
    <row r="5" spans="1:9">
      <c r="A5" s="22" t="s">
        <v>160</v>
      </c>
    </row>
    <row r="10" spans="1:9">
      <c r="B10" s="32" t="s">
        <v>159</v>
      </c>
      <c r="C10" s="32" t="s">
        <v>156</v>
      </c>
      <c r="D10" s="32" t="s">
        <v>158</v>
      </c>
      <c r="E10" s="32" t="s">
        <v>157</v>
      </c>
      <c r="H10" s="31" t="s">
        <v>156</v>
      </c>
      <c r="I10" s="30" t="s">
        <v>155</v>
      </c>
    </row>
    <row r="11" spans="1:9">
      <c r="B11" s="25">
        <v>42736</v>
      </c>
      <c r="C11" s="24" t="s">
        <v>149</v>
      </c>
      <c r="D11" s="24" t="s">
        <v>154</v>
      </c>
      <c r="E11" s="23">
        <v>74</v>
      </c>
      <c r="H11" s="30" t="s">
        <v>153</v>
      </c>
      <c r="I11" s="29">
        <v>20</v>
      </c>
    </row>
    <row r="12" spans="1:9">
      <c r="B12" s="28">
        <v>42750</v>
      </c>
      <c r="C12" s="27" t="s">
        <v>149</v>
      </c>
      <c r="D12" s="27" t="s">
        <v>148</v>
      </c>
      <c r="E12" s="26">
        <v>235</v>
      </c>
      <c r="H12" s="30" t="s">
        <v>149</v>
      </c>
      <c r="I12" s="29">
        <v>544</v>
      </c>
    </row>
    <row r="13" spans="1:9">
      <c r="B13" s="25">
        <v>42752</v>
      </c>
      <c r="C13" s="24" t="s">
        <v>153</v>
      </c>
      <c r="D13" s="24" t="s">
        <v>152</v>
      </c>
      <c r="E13" s="23">
        <v>20</v>
      </c>
      <c r="H13" s="30" t="s">
        <v>146</v>
      </c>
      <c r="I13" s="29">
        <v>270</v>
      </c>
    </row>
    <row r="14" spans="1:9">
      <c r="B14" s="28">
        <v>42756</v>
      </c>
      <c r="C14" s="27" t="s">
        <v>146</v>
      </c>
      <c r="D14" s="27" t="s">
        <v>151</v>
      </c>
      <c r="E14" s="26">
        <v>125</v>
      </c>
      <c r="H14" s="30" t="s">
        <v>150</v>
      </c>
      <c r="I14" s="29">
        <v>834</v>
      </c>
    </row>
    <row r="15" spans="1:9">
      <c r="B15" s="25">
        <v>42768</v>
      </c>
      <c r="C15" s="24" t="s">
        <v>149</v>
      </c>
      <c r="D15" s="24" t="s">
        <v>148</v>
      </c>
      <c r="E15" s="23">
        <v>235</v>
      </c>
    </row>
    <row r="16" spans="1:9">
      <c r="B16" s="28">
        <v>42786</v>
      </c>
      <c r="C16" s="27" t="s">
        <v>146</v>
      </c>
      <c r="D16" s="27" t="s">
        <v>147</v>
      </c>
      <c r="E16" s="26">
        <v>20</v>
      </c>
    </row>
    <row r="17" spans="2:5">
      <c r="B17" s="25">
        <v>42791</v>
      </c>
      <c r="C17" s="24" t="s">
        <v>146</v>
      </c>
      <c r="D17" s="24" t="s">
        <v>145</v>
      </c>
      <c r="E17" s="23">
        <v>125</v>
      </c>
    </row>
  </sheetData>
  <hyperlinks>
    <hyperlink ref="A5" r:id="rId2" tooltip="Select to give feedback" xr:uid="{BC22F6B5-44AD-4D9C-8C00-2848EB435544}"/>
  </hyperlinks>
  <printOptions horizontalCentered="1"/>
  <pageMargins left="0.7" right="0.7" top="0.75" bottom="0.75" header="0.3" footer="0.3"/>
  <pageSetup scale="52" fitToHeight="0" orientation="landscape" horizontalDpi="1200" verticalDpi="1200" r:id="rId3"/>
  <headerFooter differentFirst="1">
    <oddFooter>Page &amp;P of &amp;N</oddFooter>
  </headerFooter>
  <drawing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DC159-3277-4005-B676-8798B13A0282}">
  <sheetPr>
    <pageSetUpPr fitToPage="1"/>
  </sheetPr>
  <dimension ref="A1:K18"/>
  <sheetViews>
    <sheetView showGridLines="0" showRowColHeaders="0" workbookViewId="0"/>
  </sheetViews>
  <sheetFormatPr defaultColWidth="9.1796875" defaultRowHeight="14.5"/>
  <cols>
    <col min="1" max="1" width="9.1796875" style="22"/>
    <col min="2" max="4" width="9.1796875" style="30"/>
    <col min="5" max="5" width="10.26953125" style="30" customWidth="1"/>
    <col min="6" max="6" width="9.1796875" style="30"/>
    <col min="7" max="7" width="14" style="30" customWidth="1"/>
    <col min="8" max="10" width="7.81640625" style="30" customWidth="1"/>
    <col min="11" max="11" width="10.7265625" style="30" customWidth="1"/>
    <col min="12" max="12" width="11.26953125" style="30" bestFit="1" customWidth="1"/>
    <col min="13" max="16384" width="9.1796875" style="30"/>
  </cols>
  <sheetData>
    <row r="1" spans="1:11">
      <c r="A1" s="22" t="s">
        <v>166</v>
      </c>
    </row>
    <row r="2" spans="1:11">
      <c r="A2" s="22" t="s">
        <v>163</v>
      </c>
    </row>
    <row r="3" spans="1:11">
      <c r="A3" s="22" t="s">
        <v>165</v>
      </c>
    </row>
    <row r="4" spans="1:11">
      <c r="A4" s="22" t="s">
        <v>161</v>
      </c>
    </row>
    <row r="5" spans="1:11">
      <c r="A5" s="22" t="s">
        <v>160</v>
      </c>
    </row>
    <row r="10" spans="1:11">
      <c r="B10" s="32" t="s">
        <v>159</v>
      </c>
      <c r="C10" s="32" t="s">
        <v>156</v>
      </c>
      <c r="D10" s="32" t="s">
        <v>158</v>
      </c>
      <c r="E10" s="32" t="s">
        <v>157</v>
      </c>
      <c r="G10" s="31" t="s">
        <v>155</v>
      </c>
      <c r="H10" s="31" t="s">
        <v>156</v>
      </c>
    </row>
    <row r="11" spans="1:11">
      <c r="B11" s="25">
        <v>42736</v>
      </c>
      <c r="C11" s="24" t="s">
        <v>149</v>
      </c>
      <c r="D11" s="24" t="s">
        <v>154</v>
      </c>
      <c r="E11" s="23">
        <v>74</v>
      </c>
      <c r="G11" s="31" t="s">
        <v>158</v>
      </c>
      <c r="H11" s="30" t="s">
        <v>153</v>
      </c>
      <c r="I11" s="30" t="s">
        <v>146</v>
      </c>
      <c r="J11" s="30" t="s">
        <v>149</v>
      </c>
      <c r="K11" s="30" t="s">
        <v>150</v>
      </c>
    </row>
    <row r="12" spans="1:11">
      <c r="B12" s="28">
        <v>42750</v>
      </c>
      <c r="C12" s="27" t="s">
        <v>149</v>
      </c>
      <c r="D12" s="27" t="s">
        <v>148</v>
      </c>
      <c r="E12" s="26">
        <v>235</v>
      </c>
      <c r="G12" s="30" t="s">
        <v>151</v>
      </c>
      <c r="H12" s="29"/>
      <c r="I12" s="29">
        <v>125</v>
      </c>
      <c r="J12" s="29"/>
      <c r="K12" s="29">
        <v>125</v>
      </c>
    </row>
    <row r="13" spans="1:11">
      <c r="B13" s="25">
        <v>42752</v>
      </c>
      <c r="C13" s="24" t="s">
        <v>153</v>
      </c>
      <c r="D13" s="24" t="s">
        <v>152</v>
      </c>
      <c r="E13" s="23">
        <v>20</v>
      </c>
      <c r="G13" s="30" t="s">
        <v>148</v>
      </c>
      <c r="H13" s="29"/>
      <c r="I13" s="29"/>
      <c r="J13" s="29">
        <v>470</v>
      </c>
      <c r="K13" s="29">
        <v>470</v>
      </c>
    </row>
    <row r="14" spans="1:11">
      <c r="B14" s="28">
        <v>42756</v>
      </c>
      <c r="C14" s="27" t="s">
        <v>146</v>
      </c>
      <c r="D14" s="27" t="s">
        <v>151</v>
      </c>
      <c r="E14" s="26">
        <v>125</v>
      </c>
      <c r="G14" s="30" t="s">
        <v>154</v>
      </c>
      <c r="H14" s="29"/>
      <c r="I14" s="29"/>
      <c r="J14" s="29">
        <v>74</v>
      </c>
      <c r="K14" s="29">
        <v>74</v>
      </c>
    </row>
    <row r="15" spans="1:11">
      <c r="B15" s="25">
        <v>42768</v>
      </c>
      <c r="C15" s="24" t="s">
        <v>149</v>
      </c>
      <c r="D15" s="24" t="s">
        <v>148</v>
      </c>
      <c r="E15" s="23">
        <v>235</v>
      </c>
      <c r="G15" s="30" t="s">
        <v>147</v>
      </c>
      <c r="H15" s="29"/>
      <c r="I15" s="29">
        <v>20</v>
      </c>
      <c r="J15" s="29"/>
      <c r="K15" s="29">
        <v>20</v>
      </c>
    </row>
    <row r="16" spans="1:11">
      <c r="B16" s="28">
        <v>42786</v>
      </c>
      <c r="C16" s="27" t="s">
        <v>146</v>
      </c>
      <c r="D16" s="27" t="s">
        <v>147</v>
      </c>
      <c r="E16" s="26">
        <v>20</v>
      </c>
      <c r="G16" s="30" t="s">
        <v>152</v>
      </c>
      <c r="H16" s="29">
        <v>20</v>
      </c>
      <c r="I16" s="29"/>
      <c r="J16" s="29"/>
      <c r="K16" s="29">
        <v>20</v>
      </c>
    </row>
    <row r="17" spans="2:11">
      <c r="B17" s="25">
        <v>42791</v>
      </c>
      <c r="C17" s="24" t="s">
        <v>146</v>
      </c>
      <c r="D17" s="24" t="s">
        <v>145</v>
      </c>
      <c r="E17" s="23">
        <v>125</v>
      </c>
      <c r="G17" s="30" t="s">
        <v>145</v>
      </c>
      <c r="H17" s="29"/>
      <c r="I17" s="29">
        <v>125</v>
      </c>
      <c r="J17" s="29"/>
      <c r="K17" s="29">
        <v>125</v>
      </c>
    </row>
    <row r="18" spans="2:11">
      <c r="G18" s="30" t="s">
        <v>150</v>
      </c>
      <c r="H18" s="29">
        <v>20</v>
      </c>
      <c r="I18" s="29">
        <v>270</v>
      </c>
      <c r="J18" s="29">
        <v>544</v>
      </c>
      <c r="K18" s="29">
        <v>834</v>
      </c>
    </row>
  </sheetData>
  <hyperlinks>
    <hyperlink ref="A5" r:id="rId2" tooltip="Select to give feedback" xr:uid="{5943D610-6EAA-4027-B65C-6771354BA87B}"/>
  </hyperlinks>
  <printOptions horizontalCentered="1"/>
  <pageMargins left="0.7" right="0.7" top="0.75" bottom="0.75" header="0.3" footer="0.3"/>
  <pageSetup scale="28" fitToHeight="0" orientation="portrait" horizontalDpi="1200" verticalDpi="1200" r:id="rId3"/>
  <headerFooter differentFirst="1">
    <oddFooter>Page &amp;P of &amp;N</oddFooter>
  </headerFooter>
  <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F99C5-F1D4-47CC-B933-B0AE27EB812D}">
  <sheetPr>
    <pageSetUpPr fitToPage="1"/>
  </sheetPr>
  <dimension ref="A1:K18"/>
  <sheetViews>
    <sheetView showGridLines="0" showRowColHeaders="0" workbookViewId="0"/>
  </sheetViews>
  <sheetFormatPr defaultColWidth="9.1796875" defaultRowHeight="14.5"/>
  <cols>
    <col min="1" max="1" width="9.1796875" style="22"/>
    <col min="2" max="4" width="9.1796875" style="30"/>
    <col min="5" max="5" width="10.26953125" style="30" customWidth="1"/>
    <col min="6" max="6" width="9.1796875" style="30"/>
    <col min="7" max="7" width="14" style="30" customWidth="1"/>
    <col min="8" max="8" width="15.26953125" style="30" customWidth="1"/>
    <col min="9" max="10" width="5.453125" style="30" customWidth="1"/>
    <col min="11" max="11" width="10.7265625" style="30" customWidth="1"/>
    <col min="12" max="12" width="6.54296875" style="30" bestFit="1" customWidth="1"/>
    <col min="13" max="13" width="7.1796875" style="30" bestFit="1" customWidth="1"/>
    <col min="14" max="16384" width="9.1796875" style="30"/>
  </cols>
  <sheetData>
    <row r="1" spans="1:11">
      <c r="A1" s="22" t="s">
        <v>170</v>
      </c>
    </row>
    <row r="2" spans="1:11">
      <c r="A2" s="22" t="s">
        <v>163</v>
      </c>
    </row>
    <row r="3" spans="1:11">
      <c r="A3" s="22" t="s">
        <v>169</v>
      </c>
    </row>
    <row r="4" spans="1:11">
      <c r="A4" s="22" t="s">
        <v>161</v>
      </c>
    </row>
    <row r="5" spans="1:11">
      <c r="A5" s="22" t="s">
        <v>160</v>
      </c>
    </row>
    <row r="10" spans="1:11">
      <c r="B10" s="30" t="s">
        <v>159</v>
      </c>
      <c r="C10" s="32" t="s">
        <v>156</v>
      </c>
      <c r="D10" s="32" t="s">
        <v>158</v>
      </c>
      <c r="E10" s="32" t="s">
        <v>157</v>
      </c>
      <c r="G10" s="31" t="s">
        <v>155</v>
      </c>
      <c r="H10" s="31" t="s">
        <v>168</v>
      </c>
    </row>
    <row r="11" spans="1:11">
      <c r="B11" s="25">
        <v>42736</v>
      </c>
      <c r="C11" s="24" t="s">
        <v>149</v>
      </c>
      <c r="D11" s="24" t="s">
        <v>154</v>
      </c>
      <c r="E11" s="23">
        <v>74</v>
      </c>
      <c r="G11" s="31" t="s">
        <v>167</v>
      </c>
      <c r="H11" s="30" t="s">
        <v>153</v>
      </c>
      <c r="I11" s="30" t="s">
        <v>146</v>
      </c>
      <c r="J11" s="30" t="s">
        <v>149</v>
      </c>
      <c r="K11" s="30" t="s">
        <v>150</v>
      </c>
    </row>
    <row r="12" spans="1:11">
      <c r="B12" s="28">
        <v>42750</v>
      </c>
      <c r="C12" s="27" t="s">
        <v>149</v>
      </c>
      <c r="D12" s="27" t="s">
        <v>148</v>
      </c>
      <c r="E12" s="26">
        <v>235</v>
      </c>
      <c r="G12" s="33" t="s">
        <v>151</v>
      </c>
      <c r="H12" s="29"/>
      <c r="I12" s="29">
        <v>125</v>
      </c>
      <c r="J12" s="29"/>
      <c r="K12" s="29">
        <v>125</v>
      </c>
    </row>
    <row r="13" spans="1:11">
      <c r="B13" s="25">
        <v>42752</v>
      </c>
      <c r="C13" s="24" t="s">
        <v>153</v>
      </c>
      <c r="D13" s="24" t="s">
        <v>152</v>
      </c>
      <c r="E13" s="23">
        <v>20</v>
      </c>
      <c r="G13" s="33" t="s">
        <v>148</v>
      </c>
      <c r="H13" s="29"/>
      <c r="I13" s="29"/>
      <c r="J13" s="29">
        <v>470</v>
      </c>
      <c r="K13" s="29">
        <v>470</v>
      </c>
    </row>
    <row r="14" spans="1:11">
      <c r="B14" s="28">
        <v>42756</v>
      </c>
      <c r="C14" s="27" t="s">
        <v>146</v>
      </c>
      <c r="D14" s="27" t="s">
        <v>151</v>
      </c>
      <c r="E14" s="26">
        <v>125</v>
      </c>
      <c r="G14" s="33" t="s">
        <v>154</v>
      </c>
      <c r="H14" s="29"/>
      <c r="I14" s="29"/>
      <c r="J14" s="29">
        <v>74</v>
      </c>
      <c r="K14" s="29">
        <v>74</v>
      </c>
    </row>
    <row r="15" spans="1:11">
      <c r="B15" s="25">
        <v>42768</v>
      </c>
      <c r="C15" s="24" t="s">
        <v>149</v>
      </c>
      <c r="D15" s="24" t="s">
        <v>148</v>
      </c>
      <c r="E15" s="23">
        <v>235</v>
      </c>
      <c r="G15" s="33" t="s">
        <v>147</v>
      </c>
      <c r="H15" s="29"/>
      <c r="I15" s="29">
        <v>20</v>
      </c>
      <c r="J15" s="29"/>
      <c r="K15" s="29">
        <v>20</v>
      </c>
    </row>
    <row r="16" spans="1:11">
      <c r="B16" s="28">
        <v>42786</v>
      </c>
      <c r="C16" s="27" t="s">
        <v>146</v>
      </c>
      <c r="D16" s="27" t="s">
        <v>147</v>
      </c>
      <c r="E16" s="26">
        <v>20</v>
      </c>
      <c r="G16" s="33" t="s">
        <v>152</v>
      </c>
      <c r="H16" s="29">
        <v>20</v>
      </c>
      <c r="I16" s="29"/>
      <c r="J16" s="29"/>
      <c r="K16" s="29">
        <v>20</v>
      </c>
    </row>
    <row r="17" spans="2:11">
      <c r="B17" s="25">
        <v>42791</v>
      </c>
      <c r="C17" s="24" t="s">
        <v>146</v>
      </c>
      <c r="D17" s="24" t="s">
        <v>145</v>
      </c>
      <c r="E17" s="23">
        <v>125</v>
      </c>
      <c r="G17" s="33" t="s">
        <v>145</v>
      </c>
      <c r="H17" s="29"/>
      <c r="I17" s="29">
        <v>125</v>
      </c>
      <c r="J17" s="29"/>
      <c r="K17" s="29">
        <v>125</v>
      </c>
    </row>
    <row r="18" spans="2:11">
      <c r="G18" s="33" t="s">
        <v>150</v>
      </c>
      <c r="H18" s="29">
        <v>20</v>
      </c>
      <c r="I18" s="29">
        <v>270</v>
      </c>
      <c r="J18" s="29">
        <v>544</v>
      </c>
      <c r="K18" s="29">
        <v>834</v>
      </c>
    </row>
  </sheetData>
  <hyperlinks>
    <hyperlink ref="A5" r:id="rId2" tooltip="Select to give feedback" xr:uid="{BB77DF62-27A8-4A4A-A947-50B793ADF3B4}"/>
  </hyperlinks>
  <printOptions horizontalCentered="1"/>
  <pageMargins left="0.7" right="0.7" top="0.75" bottom="0.75" header="0.3" footer="0.3"/>
  <pageSetup scale="45" fitToHeight="0" orientation="portrait" horizontalDpi="1200" verticalDpi="1200" r:id="rId3"/>
  <headerFooter differentFirst="1">
    <oddFooter>Page &amp;P of &amp;N</oddFooter>
  </headerFooter>
  <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D5E7F-FDEF-43DB-A968-0464558C0598}">
  <sheetPr>
    <pageSetUpPr fitToPage="1"/>
  </sheetPr>
  <dimension ref="A1:E17"/>
  <sheetViews>
    <sheetView showGridLines="0" showRowColHeaders="0" workbookViewId="0"/>
  </sheetViews>
  <sheetFormatPr defaultColWidth="9.1796875" defaultRowHeight="14.5"/>
  <cols>
    <col min="1" max="1" width="9.1796875" style="22"/>
    <col min="2" max="4" width="9.1796875" style="30"/>
    <col min="5" max="5" width="10.26953125" style="30" customWidth="1"/>
    <col min="6" max="7" width="9.1796875" style="30"/>
    <col min="8" max="8" width="11.26953125" style="30" bestFit="1" customWidth="1"/>
    <col min="9" max="9" width="14.81640625" style="30" bestFit="1" customWidth="1"/>
    <col min="10" max="16384" width="9.1796875" style="30"/>
  </cols>
  <sheetData>
    <row r="1" spans="1:5">
      <c r="A1" s="22" t="s">
        <v>173</v>
      </c>
    </row>
    <row r="2" spans="1:5">
      <c r="A2" s="22" t="s">
        <v>172</v>
      </c>
    </row>
    <row r="3" spans="1:5">
      <c r="A3" s="22" t="s">
        <v>171</v>
      </c>
    </row>
    <row r="4" spans="1:5">
      <c r="A4" s="22" t="s">
        <v>161</v>
      </c>
    </row>
    <row r="5" spans="1:5">
      <c r="A5" s="22" t="s">
        <v>160</v>
      </c>
    </row>
    <row r="10" spans="1:5">
      <c r="B10" s="32" t="s">
        <v>159</v>
      </c>
      <c r="C10" s="32" t="s">
        <v>156</v>
      </c>
      <c r="D10" s="32" t="s">
        <v>158</v>
      </c>
      <c r="E10" s="30" t="s">
        <v>157</v>
      </c>
    </row>
    <row r="11" spans="1:5">
      <c r="B11" s="25">
        <v>42736</v>
      </c>
      <c r="C11" s="24" t="s">
        <v>149</v>
      </c>
      <c r="D11" s="24" t="s">
        <v>154</v>
      </c>
      <c r="E11" s="23">
        <v>74</v>
      </c>
    </row>
    <row r="12" spans="1:5">
      <c r="B12" s="28">
        <v>42750</v>
      </c>
      <c r="C12" s="27" t="s">
        <v>149</v>
      </c>
      <c r="D12" s="27" t="s">
        <v>148</v>
      </c>
      <c r="E12" s="26">
        <v>235</v>
      </c>
    </row>
    <row r="13" spans="1:5">
      <c r="B13" s="25">
        <v>42752</v>
      </c>
      <c r="C13" s="24" t="s">
        <v>153</v>
      </c>
      <c r="D13" s="24" t="s">
        <v>152</v>
      </c>
      <c r="E13" s="23">
        <v>20</v>
      </c>
    </row>
    <row r="14" spans="1:5">
      <c r="B14" s="28">
        <v>42756</v>
      </c>
      <c r="C14" s="27" t="s">
        <v>146</v>
      </c>
      <c r="D14" s="27" t="s">
        <v>151</v>
      </c>
      <c r="E14" s="26">
        <v>125</v>
      </c>
    </row>
    <row r="15" spans="1:5">
      <c r="B15" s="25">
        <v>42768</v>
      </c>
      <c r="C15" s="24" t="s">
        <v>149</v>
      </c>
      <c r="D15" s="24" t="s">
        <v>148</v>
      </c>
      <c r="E15" s="23">
        <v>235</v>
      </c>
    </row>
    <row r="16" spans="1:5">
      <c r="B16" s="28">
        <v>42786</v>
      </c>
      <c r="C16" s="27" t="s">
        <v>146</v>
      </c>
      <c r="D16" s="27" t="s">
        <v>147</v>
      </c>
      <c r="E16" s="26">
        <v>20</v>
      </c>
    </row>
    <row r="17" spans="2:5">
      <c r="B17" s="25">
        <v>42791</v>
      </c>
      <c r="C17" s="24" t="s">
        <v>146</v>
      </c>
      <c r="D17" s="24" t="s">
        <v>145</v>
      </c>
      <c r="E17" s="23">
        <v>125</v>
      </c>
    </row>
  </sheetData>
  <hyperlinks>
    <hyperlink ref="A5" r:id="rId1" tooltip="Select to give feedback" xr:uid="{19816127-B0AB-4810-9707-BF02E0907D22}"/>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9C61E-70B8-4361-B3D4-F4AD89414335}">
  <sheetPr>
    <pageSetUpPr fitToPage="1"/>
  </sheetPr>
  <dimension ref="A1:E17"/>
  <sheetViews>
    <sheetView showGridLines="0" showRowColHeaders="0" zoomScaleNormal="100" workbookViewId="0"/>
  </sheetViews>
  <sheetFormatPr defaultColWidth="9.1796875" defaultRowHeight="14.5"/>
  <cols>
    <col min="1" max="1" width="9.1796875" style="22"/>
    <col min="2" max="4" width="9.1796875" style="30"/>
    <col min="5" max="5" width="10.26953125" style="30" customWidth="1"/>
    <col min="6" max="7" width="9.1796875" style="30"/>
    <col min="8" max="8" width="11.26953125" style="30" bestFit="1" customWidth="1"/>
    <col min="9" max="9" width="14.81640625" style="30" bestFit="1" customWidth="1"/>
    <col min="10" max="16384" width="9.1796875" style="30"/>
  </cols>
  <sheetData>
    <row r="1" spans="1:5">
      <c r="A1" s="22" t="s">
        <v>176</v>
      </c>
    </row>
    <row r="2" spans="1:5">
      <c r="A2" s="22" t="s">
        <v>175</v>
      </c>
    </row>
    <row r="3" spans="1:5">
      <c r="A3" s="22" t="s">
        <v>174</v>
      </c>
    </row>
    <row r="4" spans="1:5">
      <c r="A4" s="22" t="s">
        <v>161</v>
      </c>
    </row>
    <row r="5" spans="1:5">
      <c r="A5" s="22" t="s">
        <v>160</v>
      </c>
    </row>
    <row r="10" spans="1:5">
      <c r="B10" s="32" t="s">
        <v>159</v>
      </c>
      <c r="C10" s="32" t="s">
        <v>156</v>
      </c>
      <c r="D10" s="32" t="s">
        <v>158</v>
      </c>
      <c r="E10" s="32" t="s">
        <v>157</v>
      </c>
    </row>
    <row r="11" spans="1:5">
      <c r="B11" s="25">
        <v>42736</v>
      </c>
      <c r="C11" s="24" t="s">
        <v>149</v>
      </c>
      <c r="D11" s="24" t="s">
        <v>154</v>
      </c>
      <c r="E11" s="23">
        <v>74</v>
      </c>
    </row>
    <row r="12" spans="1:5">
      <c r="B12" s="28">
        <v>42750</v>
      </c>
      <c r="C12" s="27" t="s">
        <v>149</v>
      </c>
      <c r="D12" s="27" t="s">
        <v>148</v>
      </c>
      <c r="E12" s="26">
        <v>235</v>
      </c>
    </row>
    <row r="13" spans="1:5">
      <c r="B13" s="25">
        <v>42752</v>
      </c>
      <c r="C13" s="24" t="s">
        <v>153</v>
      </c>
      <c r="D13" s="24" t="s">
        <v>152</v>
      </c>
      <c r="E13" s="23">
        <v>20</v>
      </c>
    </row>
    <row r="14" spans="1:5">
      <c r="B14" s="28">
        <v>42756</v>
      </c>
      <c r="C14" s="27" t="s">
        <v>146</v>
      </c>
      <c r="D14" s="27" t="s">
        <v>151</v>
      </c>
      <c r="E14" s="26">
        <v>125</v>
      </c>
    </row>
    <row r="15" spans="1:5">
      <c r="B15" s="25">
        <v>42768</v>
      </c>
      <c r="C15" s="24" t="s">
        <v>149</v>
      </c>
      <c r="D15" s="24" t="s">
        <v>148</v>
      </c>
      <c r="E15" s="23">
        <v>235</v>
      </c>
    </row>
    <row r="16" spans="1:5">
      <c r="B16" s="28">
        <v>42786</v>
      </c>
      <c r="C16" s="27" t="s">
        <v>146</v>
      </c>
      <c r="D16" s="27" t="s">
        <v>147</v>
      </c>
      <c r="E16" s="26">
        <v>20</v>
      </c>
    </row>
    <row r="17" spans="2:5">
      <c r="B17" s="25">
        <v>42791</v>
      </c>
      <c r="C17" s="24" t="s">
        <v>146</v>
      </c>
      <c r="D17" s="24" t="s">
        <v>145</v>
      </c>
      <c r="E17" s="23">
        <v>125</v>
      </c>
    </row>
  </sheetData>
  <hyperlinks>
    <hyperlink ref="A5" r:id="rId1" tooltip="Select to give feedback" xr:uid="{0FEE9A66-A5EF-455F-A868-238CD3CD78AE}"/>
  </hyperlinks>
  <printOptions horizontalCentered="1"/>
  <pageMargins left="0.7" right="0.7" top="0.75" bottom="0.75" header="0.3" footer="0.3"/>
  <pageSetup scale="41" fitToHeight="0" orientation="portrait" horizontalDpi="1200" verticalDpi="1200" r:id="rId2"/>
  <headerFooter differentFirst="1">
    <oddFooter>Page &amp;P of &amp;N</oddFooter>
  </headerFooter>
  <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B4681-95A6-466E-B452-E5CA6597B083}">
  <sheetPr>
    <pageSetUpPr fitToPage="1"/>
  </sheetPr>
  <dimension ref="A1:E17"/>
  <sheetViews>
    <sheetView showGridLines="0" showRowColHeaders="0" zoomScaleNormal="100" workbookViewId="0"/>
  </sheetViews>
  <sheetFormatPr defaultColWidth="9.1796875" defaultRowHeight="14.5"/>
  <cols>
    <col min="1" max="1" width="9.1796875" style="22"/>
    <col min="2" max="4" width="9.1796875" style="30"/>
    <col min="5" max="5" width="10.26953125" style="30" customWidth="1"/>
    <col min="6" max="7" width="9.1796875" style="30"/>
    <col min="8" max="8" width="11.26953125" style="30" bestFit="1" customWidth="1"/>
    <col min="9" max="9" width="14.81640625" style="30" bestFit="1" customWidth="1"/>
    <col min="10" max="16384" width="9.1796875" style="30"/>
  </cols>
  <sheetData>
    <row r="1" spans="1:5">
      <c r="A1" s="22" t="s">
        <v>178</v>
      </c>
    </row>
    <row r="2" spans="1:5">
      <c r="A2" s="22" t="s">
        <v>177</v>
      </c>
    </row>
    <row r="3" spans="1:5">
      <c r="A3" s="22" t="s">
        <v>161</v>
      </c>
    </row>
    <row r="4" spans="1:5">
      <c r="A4" s="22" t="s">
        <v>160</v>
      </c>
    </row>
    <row r="5" spans="1:5">
      <c r="A5" s="30"/>
    </row>
    <row r="10" spans="1:5">
      <c r="B10" s="30" t="s">
        <v>159</v>
      </c>
      <c r="C10" s="32" t="s">
        <v>156</v>
      </c>
      <c r="D10" s="32" t="s">
        <v>158</v>
      </c>
      <c r="E10" s="30" t="s">
        <v>157</v>
      </c>
    </row>
    <row r="11" spans="1:5">
      <c r="B11" s="25">
        <v>42736</v>
      </c>
      <c r="C11" s="24" t="s">
        <v>149</v>
      </c>
      <c r="D11" s="24" t="s">
        <v>154</v>
      </c>
      <c r="E11" s="23">
        <v>74</v>
      </c>
    </row>
    <row r="12" spans="1:5">
      <c r="B12" s="28">
        <v>42750</v>
      </c>
      <c r="C12" s="27" t="s">
        <v>149</v>
      </c>
      <c r="D12" s="27" t="s">
        <v>148</v>
      </c>
      <c r="E12" s="26">
        <v>235</v>
      </c>
    </row>
    <row r="13" spans="1:5">
      <c r="B13" s="25">
        <v>42752</v>
      </c>
      <c r="C13" s="24" t="s">
        <v>153</v>
      </c>
      <c r="D13" s="24" t="s">
        <v>152</v>
      </c>
      <c r="E13" s="23">
        <v>20</v>
      </c>
    </row>
    <row r="14" spans="1:5">
      <c r="B14" s="28">
        <v>42756</v>
      </c>
      <c r="C14" s="27" t="s">
        <v>146</v>
      </c>
      <c r="D14" s="27" t="s">
        <v>151</v>
      </c>
      <c r="E14" s="26">
        <v>125</v>
      </c>
    </row>
    <row r="15" spans="1:5">
      <c r="B15" s="25">
        <v>42768</v>
      </c>
      <c r="C15" s="24" t="s">
        <v>149</v>
      </c>
      <c r="D15" s="24" t="s">
        <v>148</v>
      </c>
      <c r="E15" s="23">
        <v>235</v>
      </c>
    </row>
    <row r="16" spans="1:5">
      <c r="B16" s="28">
        <v>42786</v>
      </c>
      <c r="C16" s="27" t="s">
        <v>146</v>
      </c>
      <c r="D16" s="27" t="s">
        <v>147</v>
      </c>
      <c r="E16" s="26">
        <v>20</v>
      </c>
    </row>
    <row r="17" spans="2:5">
      <c r="B17" s="25">
        <v>42791</v>
      </c>
      <c r="C17" s="24" t="s">
        <v>146</v>
      </c>
      <c r="D17" s="24" t="s">
        <v>145</v>
      </c>
      <c r="E17" s="23">
        <v>125</v>
      </c>
    </row>
  </sheetData>
  <hyperlinks>
    <hyperlink ref="A4" r:id="rId1" tooltip="Select to give feedback" xr:uid="{3E259919-7A63-439F-989D-601FD713E63C}"/>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49BD3-20A4-4FED-99E5-057163A153C9}">
  <sheetPr>
    <pageSetUpPr fitToPage="1"/>
  </sheetPr>
  <dimension ref="A1:H17"/>
  <sheetViews>
    <sheetView showGridLines="0" showRowColHeaders="0" zoomScaleNormal="100" workbookViewId="0"/>
  </sheetViews>
  <sheetFormatPr defaultColWidth="8.7265625" defaultRowHeight="14.5"/>
  <cols>
    <col min="1" max="1" width="9.1796875" style="22" customWidth="1"/>
    <col min="2" max="4" width="9.1796875" style="17" customWidth="1"/>
    <col min="5" max="5" width="10.26953125" style="17" customWidth="1"/>
    <col min="6" max="6" width="8.7265625" style="17"/>
    <col min="7" max="7" width="14.81640625" style="17" bestFit="1" customWidth="1"/>
    <col min="8" max="8" width="14" style="17" customWidth="1"/>
    <col min="9" max="9" width="14.81640625" style="17" bestFit="1" customWidth="1"/>
    <col min="10" max="16384" width="8.7265625" style="17"/>
  </cols>
  <sheetData>
    <row r="1" spans="1:8">
      <c r="A1" s="22" t="s">
        <v>180</v>
      </c>
    </row>
    <row r="2" spans="1:8">
      <c r="A2" s="22" t="s">
        <v>163</v>
      </c>
    </row>
    <row r="3" spans="1:8">
      <c r="A3" s="22" t="s">
        <v>179</v>
      </c>
    </row>
    <row r="4" spans="1:8">
      <c r="A4" s="22" t="s">
        <v>161</v>
      </c>
    </row>
    <row r="5" spans="1:8">
      <c r="A5" s="22" t="s">
        <v>160</v>
      </c>
    </row>
    <row r="10" spans="1:8">
      <c r="B10" s="32" t="s">
        <v>159</v>
      </c>
      <c r="C10" s="32" t="s">
        <v>156</v>
      </c>
      <c r="D10" s="32" t="s">
        <v>158</v>
      </c>
      <c r="E10" s="32" t="s">
        <v>157</v>
      </c>
      <c r="H10" s="30" t="s">
        <v>155</v>
      </c>
    </row>
    <row r="11" spans="1:8">
      <c r="B11" s="35">
        <v>42736</v>
      </c>
      <c r="C11" s="24" t="s">
        <v>149</v>
      </c>
      <c r="D11" s="24" t="s">
        <v>154</v>
      </c>
      <c r="E11" s="34">
        <v>74</v>
      </c>
      <c r="H11" s="29">
        <v>834</v>
      </c>
    </row>
    <row r="12" spans="1:8">
      <c r="B12" s="37">
        <v>42750</v>
      </c>
      <c r="C12" s="27" t="s">
        <v>149</v>
      </c>
      <c r="D12" s="27" t="s">
        <v>148</v>
      </c>
      <c r="E12" s="36">
        <v>235</v>
      </c>
    </row>
    <row r="13" spans="1:8">
      <c r="B13" s="35">
        <v>42752</v>
      </c>
      <c r="C13" s="24" t="s">
        <v>153</v>
      </c>
      <c r="D13" s="24" t="s">
        <v>152</v>
      </c>
      <c r="E13" s="34">
        <v>20</v>
      </c>
    </row>
    <row r="14" spans="1:8">
      <c r="B14" s="37">
        <v>42756</v>
      </c>
      <c r="C14" s="27" t="s">
        <v>146</v>
      </c>
      <c r="D14" s="27" t="s">
        <v>151</v>
      </c>
      <c r="E14" s="36">
        <v>125</v>
      </c>
    </row>
    <row r="15" spans="1:8">
      <c r="B15" s="35">
        <v>42768</v>
      </c>
      <c r="C15" s="24" t="s">
        <v>149</v>
      </c>
      <c r="D15" s="24" t="s">
        <v>148</v>
      </c>
      <c r="E15" s="34">
        <v>235</v>
      </c>
    </row>
    <row r="16" spans="1:8">
      <c r="B16" s="37">
        <v>42786</v>
      </c>
      <c r="C16" s="27" t="s">
        <v>146</v>
      </c>
      <c r="D16" s="27" t="s">
        <v>147</v>
      </c>
      <c r="E16" s="36">
        <v>20</v>
      </c>
    </row>
    <row r="17" spans="2:5">
      <c r="B17" s="35">
        <v>42791</v>
      </c>
      <c r="C17" s="24" t="s">
        <v>146</v>
      </c>
      <c r="D17" s="24" t="s">
        <v>145</v>
      </c>
      <c r="E17" s="34">
        <v>125</v>
      </c>
    </row>
  </sheetData>
  <hyperlinks>
    <hyperlink ref="A5" r:id="rId2" tooltip="Select to give feedback" xr:uid="{808BE5C1-D0CD-42CD-B7BD-4DCBD6967711}"/>
  </hyperlinks>
  <printOptions horizontalCentered="1"/>
  <pageMargins left="0.7" right="0.7" top="0.75" bottom="0.75" header="0.3" footer="0.3"/>
  <pageSetup scale="41" fitToHeight="0" orientation="portrait" verticalDpi="200" r:id="rId3"/>
  <headerFooter differentFirst="1">
    <oddFooter>Page &amp;P of &amp;N</oddFooter>
  </headerFooter>
  <drawing r:id="rId4"/>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3AAA7-E060-4AE5-AED0-63ADD8ACAEED}">
  <sheetPr>
    <pageSetUpPr fitToPage="1"/>
  </sheetPr>
  <dimension ref="A1:H18"/>
  <sheetViews>
    <sheetView showGridLines="0" showRowColHeaders="0" zoomScaleNormal="100" workbookViewId="0"/>
  </sheetViews>
  <sheetFormatPr defaultColWidth="9.1796875" defaultRowHeight="14.5"/>
  <cols>
    <col min="1" max="1" width="9.1796875" style="22"/>
    <col min="2" max="4" width="9.1796875" style="30"/>
    <col min="5" max="5" width="10.26953125" style="30" customWidth="1"/>
    <col min="6" max="6" width="9.1796875" style="30"/>
    <col min="7" max="7" width="14.81640625" style="30" bestFit="1" customWidth="1"/>
    <col min="8" max="8" width="14" style="30" customWidth="1"/>
    <col min="9" max="9" width="14.81640625" style="30" bestFit="1" customWidth="1"/>
    <col min="10" max="16384" width="9.1796875" style="30"/>
  </cols>
  <sheetData>
    <row r="1" spans="1:8">
      <c r="A1" s="22" t="s">
        <v>183</v>
      </c>
    </row>
    <row r="2" spans="1:8">
      <c r="A2" s="22" t="s">
        <v>182</v>
      </c>
    </row>
    <row r="3" spans="1:8">
      <c r="A3" s="22" t="s">
        <v>181</v>
      </c>
    </row>
    <row r="4" spans="1:8">
      <c r="A4" s="22" t="s">
        <v>161</v>
      </c>
    </row>
    <row r="5" spans="1:8">
      <c r="A5" s="22" t="s">
        <v>160</v>
      </c>
    </row>
    <row r="11" spans="1:8">
      <c r="B11" s="32" t="s">
        <v>159</v>
      </c>
      <c r="C11" s="32" t="s">
        <v>156</v>
      </c>
      <c r="D11" s="32" t="s">
        <v>158</v>
      </c>
      <c r="E11" s="32" t="s">
        <v>157</v>
      </c>
      <c r="H11" s="30" t="s">
        <v>155</v>
      </c>
    </row>
    <row r="12" spans="1:8">
      <c r="B12" s="25">
        <v>42736</v>
      </c>
      <c r="C12" s="24" t="s">
        <v>149</v>
      </c>
      <c r="D12" s="24" t="s">
        <v>154</v>
      </c>
      <c r="E12" s="23">
        <v>74</v>
      </c>
      <c r="H12" s="38">
        <v>834</v>
      </c>
    </row>
    <row r="13" spans="1:8">
      <c r="B13" s="28">
        <v>42750</v>
      </c>
      <c r="C13" s="27" t="s">
        <v>149</v>
      </c>
      <c r="D13" s="27" t="s">
        <v>148</v>
      </c>
      <c r="E13" s="26">
        <v>235</v>
      </c>
    </row>
    <row r="14" spans="1:8">
      <c r="B14" s="25">
        <v>42752</v>
      </c>
      <c r="C14" s="24" t="s">
        <v>153</v>
      </c>
      <c r="D14" s="24" t="s">
        <v>152</v>
      </c>
      <c r="E14" s="23">
        <v>20</v>
      </c>
    </row>
    <row r="15" spans="1:8">
      <c r="B15" s="28">
        <v>42756</v>
      </c>
      <c r="C15" s="27" t="s">
        <v>146</v>
      </c>
      <c r="D15" s="27" t="s">
        <v>151</v>
      </c>
      <c r="E15" s="26">
        <v>125</v>
      </c>
    </row>
    <row r="16" spans="1:8">
      <c r="B16" s="25">
        <v>42768</v>
      </c>
      <c r="C16" s="24" t="s">
        <v>149</v>
      </c>
      <c r="D16" s="24" t="s">
        <v>148</v>
      </c>
      <c r="E16" s="23">
        <v>235</v>
      </c>
    </row>
    <row r="17" spans="2:5">
      <c r="B17" s="28">
        <v>42786</v>
      </c>
      <c r="C17" s="27" t="s">
        <v>146</v>
      </c>
      <c r="D17" s="27" t="s">
        <v>147</v>
      </c>
      <c r="E17" s="26">
        <v>20</v>
      </c>
    </row>
    <row r="18" spans="2:5">
      <c r="B18" s="25">
        <v>42791</v>
      </c>
      <c r="C18" s="24" t="s">
        <v>146</v>
      </c>
      <c r="D18" s="24" t="s">
        <v>145</v>
      </c>
      <c r="E18" s="23">
        <v>125</v>
      </c>
    </row>
  </sheetData>
  <hyperlinks>
    <hyperlink ref="A5" r:id="rId2" tooltip="Select to give feedback" xr:uid="{432461DF-0ED6-4854-B2CC-5D9BDF9F7DDF}"/>
  </hyperlinks>
  <printOptions horizontalCentered="1"/>
  <pageMargins left="0.7" right="0.7" top="0.75" bottom="0.75" header="0.3" footer="0.3"/>
  <pageSetup scale="42" fitToHeight="0" orientation="portrait" verticalDpi="200" r:id="rId3"/>
  <headerFooter differentFirst="1">
    <oddFooter>Page &amp;P of &amp;N</oddFooter>
  </headerFooter>
  <drawing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096C-BCDE-408E-8D83-1A59E1348151}">
  <sheetPr>
    <pageSetUpPr fitToPage="1"/>
  </sheetPr>
  <dimension ref="A1:I18"/>
  <sheetViews>
    <sheetView showGridLines="0" showRowColHeaders="0" zoomScaleNormal="100" workbookViewId="0"/>
  </sheetViews>
  <sheetFormatPr defaultColWidth="9.1796875" defaultRowHeight="14.5"/>
  <cols>
    <col min="1" max="1" width="9.1796875" style="22"/>
    <col min="2" max="4" width="9.1796875" style="30"/>
    <col min="5" max="5" width="10.26953125" style="30" customWidth="1"/>
    <col min="6" max="6" width="9.1796875" style="30"/>
    <col min="7" max="7" width="14.81640625" style="30" bestFit="1" customWidth="1"/>
    <col min="8" max="8" width="10.7265625" style="30" customWidth="1"/>
    <col min="9" max="9" width="14" style="30" customWidth="1"/>
    <col min="10" max="16384" width="9.1796875" style="30"/>
  </cols>
  <sheetData>
    <row r="1" spans="1:9">
      <c r="A1" s="22" t="s">
        <v>186</v>
      </c>
    </row>
    <row r="2" spans="1:9">
      <c r="A2" s="22" t="s">
        <v>185</v>
      </c>
    </row>
    <row r="3" spans="1:9">
      <c r="A3" s="22" t="s">
        <v>184</v>
      </c>
    </row>
    <row r="4" spans="1:9">
      <c r="A4" s="22" t="s">
        <v>161</v>
      </c>
    </row>
    <row r="5" spans="1:9">
      <c r="A5" s="22" t="s">
        <v>160</v>
      </c>
    </row>
    <row r="11" spans="1:9">
      <c r="B11" s="32" t="s">
        <v>159</v>
      </c>
      <c r="C11" s="32" t="s">
        <v>156</v>
      </c>
      <c r="D11" s="32" t="s">
        <v>158</v>
      </c>
      <c r="E11" s="32" t="s">
        <v>157</v>
      </c>
      <c r="H11" s="40" t="s">
        <v>156</v>
      </c>
      <c r="I11" s="30" t="s">
        <v>155</v>
      </c>
    </row>
    <row r="12" spans="1:9">
      <c r="B12" s="25">
        <v>42736</v>
      </c>
      <c r="C12" s="24" t="s">
        <v>149</v>
      </c>
      <c r="D12" s="24" t="s">
        <v>154</v>
      </c>
      <c r="E12" s="23">
        <v>74</v>
      </c>
      <c r="H12" s="39" t="s">
        <v>153</v>
      </c>
      <c r="I12" s="29">
        <v>20</v>
      </c>
    </row>
    <row r="13" spans="1:9">
      <c r="B13" s="28">
        <v>42750</v>
      </c>
      <c r="C13" s="27" t="s">
        <v>149</v>
      </c>
      <c r="D13" s="27" t="s">
        <v>148</v>
      </c>
      <c r="E13" s="26">
        <v>235</v>
      </c>
      <c r="H13" s="39" t="s">
        <v>146</v>
      </c>
      <c r="I13" s="29">
        <v>270</v>
      </c>
    </row>
    <row r="14" spans="1:9">
      <c r="B14" s="25">
        <v>42752</v>
      </c>
      <c r="C14" s="24" t="s">
        <v>153</v>
      </c>
      <c r="D14" s="24" t="s">
        <v>152</v>
      </c>
      <c r="E14" s="23">
        <v>20</v>
      </c>
      <c r="H14" s="39" t="s">
        <v>149</v>
      </c>
      <c r="I14" s="29">
        <v>544</v>
      </c>
    </row>
    <row r="15" spans="1:9">
      <c r="B15" s="28">
        <v>42756</v>
      </c>
      <c r="C15" s="27" t="s">
        <v>146</v>
      </c>
      <c r="D15" s="27" t="s">
        <v>151</v>
      </c>
      <c r="E15" s="26">
        <v>125</v>
      </c>
      <c r="H15" s="30" t="s">
        <v>150</v>
      </c>
      <c r="I15" s="29">
        <v>834</v>
      </c>
    </row>
    <row r="16" spans="1:9">
      <c r="B16" s="25">
        <v>42768</v>
      </c>
      <c r="C16" s="24" t="s">
        <v>149</v>
      </c>
      <c r="D16" s="24" t="s">
        <v>148</v>
      </c>
      <c r="E16" s="23">
        <v>235</v>
      </c>
    </row>
    <row r="17" spans="2:5">
      <c r="B17" s="28">
        <v>42786</v>
      </c>
      <c r="C17" s="27" t="s">
        <v>146</v>
      </c>
      <c r="D17" s="27" t="s">
        <v>147</v>
      </c>
      <c r="E17" s="26">
        <v>20</v>
      </c>
    </row>
    <row r="18" spans="2:5">
      <c r="B18" s="25">
        <v>42791</v>
      </c>
      <c r="C18" s="24" t="s">
        <v>146</v>
      </c>
      <c r="D18" s="24" t="s">
        <v>145</v>
      </c>
      <c r="E18" s="23">
        <v>125</v>
      </c>
    </row>
  </sheetData>
  <hyperlinks>
    <hyperlink ref="A5" r:id="rId2" tooltip="Select to give feedback" xr:uid="{80E06096-9B33-4BC4-89DB-C83D503C4789}"/>
  </hyperlinks>
  <printOptions horizontalCentered="1"/>
  <pageMargins left="0.7" right="0.7" top="0.75" bottom="0.75" header="0.3" footer="0.3"/>
  <pageSetup scale="23" fitToHeight="0" orientation="portrait" verticalDpi="200" r:id="rId3"/>
  <headerFooter differentFirst="1">
    <oddFooter>Page &amp;P of &amp;N</oddFooter>
  </headerFooter>
  <drawing r:id="rId4"/>
  <tableParts count="1">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753AA-6CAE-4777-9278-1CC050720D5B}">
  <sheetPr>
    <pageSetUpPr fitToPage="1"/>
  </sheetPr>
  <dimension ref="A1:I17"/>
  <sheetViews>
    <sheetView showGridLines="0" showRowColHeaders="0" zoomScaleNormal="100" workbookViewId="0"/>
  </sheetViews>
  <sheetFormatPr defaultColWidth="9.1796875" defaultRowHeight="14.5"/>
  <cols>
    <col min="1" max="1" width="9.1796875" style="22"/>
    <col min="2" max="4" width="9.1796875" style="30"/>
    <col min="5" max="5" width="10.26953125" style="30" customWidth="1"/>
    <col min="6" max="6" width="9.1796875" style="30"/>
    <col min="7" max="7" width="14.81640625" style="30" bestFit="1" customWidth="1"/>
    <col min="8" max="8" width="10.7265625" style="30" customWidth="1"/>
    <col min="9" max="9" width="14" style="30" customWidth="1"/>
    <col min="10" max="16384" width="9.1796875" style="30"/>
  </cols>
  <sheetData>
    <row r="1" spans="1:9">
      <c r="A1" s="22" t="s">
        <v>188</v>
      </c>
    </row>
    <row r="2" spans="1:9">
      <c r="A2" s="22" t="s">
        <v>163</v>
      </c>
    </row>
    <row r="3" spans="1:9">
      <c r="A3" s="22" t="s">
        <v>187</v>
      </c>
    </row>
    <row r="4" spans="1:9">
      <c r="A4" s="22" t="s">
        <v>161</v>
      </c>
    </row>
    <row r="5" spans="1:9">
      <c r="A5" s="22" t="s">
        <v>160</v>
      </c>
    </row>
    <row r="10" spans="1:9">
      <c r="B10" s="32" t="s">
        <v>159</v>
      </c>
      <c r="C10" s="32" t="s">
        <v>156</v>
      </c>
      <c r="D10" s="32" t="s">
        <v>158</v>
      </c>
      <c r="E10" s="32" t="s">
        <v>157</v>
      </c>
      <c r="H10" s="40" t="s">
        <v>158</v>
      </c>
      <c r="I10" s="30" t="s">
        <v>155</v>
      </c>
    </row>
    <row r="11" spans="1:9">
      <c r="B11" s="35">
        <v>42736</v>
      </c>
      <c r="C11" s="24" t="s">
        <v>149</v>
      </c>
      <c r="D11" s="24" t="s">
        <v>154</v>
      </c>
      <c r="E11" s="34">
        <v>74</v>
      </c>
      <c r="H11" s="40" t="s">
        <v>151</v>
      </c>
      <c r="I11" s="29">
        <v>125</v>
      </c>
    </row>
    <row r="12" spans="1:9">
      <c r="B12" s="37">
        <v>42750</v>
      </c>
      <c r="C12" s="27" t="s">
        <v>149</v>
      </c>
      <c r="D12" s="27" t="s">
        <v>148</v>
      </c>
      <c r="E12" s="36">
        <v>235</v>
      </c>
      <c r="H12" s="40" t="s">
        <v>148</v>
      </c>
      <c r="I12" s="29">
        <v>470</v>
      </c>
    </row>
    <row r="13" spans="1:9">
      <c r="B13" s="35">
        <v>42752</v>
      </c>
      <c r="C13" s="24" t="s">
        <v>153</v>
      </c>
      <c r="D13" s="24" t="s">
        <v>152</v>
      </c>
      <c r="E13" s="34">
        <v>20</v>
      </c>
      <c r="H13" s="40" t="s">
        <v>154</v>
      </c>
      <c r="I13" s="29">
        <v>74</v>
      </c>
    </row>
    <row r="14" spans="1:9">
      <c r="B14" s="37">
        <v>42756</v>
      </c>
      <c r="C14" s="27" t="s">
        <v>146</v>
      </c>
      <c r="D14" s="27" t="s">
        <v>151</v>
      </c>
      <c r="E14" s="36">
        <v>125</v>
      </c>
      <c r="H14" s="40" t="s">
        <v>147</v>
      </c>
      <c r="I14" s="29">
        <v>20</v>
      </c>
    </row>
    <row r="15" spans="1:9">
      <c r="B15" s="35">
        <v>42768</v>
      </c>
      <c r="C15" s="24" t="s">
        <v>149</v>
      </c>
      <c r="D15" s="24" t="s">
        <v>148</v>
      </c>
      <c r="E15" s="34">
        <v>235</v>
      </c>
      <c r="H15" s="40" t="s">
        <v>152</v>
      </c>
      <c r="I15" s="29">
        <v>20</v>
      </c>
    </row>
    <row r="16" spans="1:9">
      <c r="B16" s="37">
        <v>42786</v>
      </c>
      <c r="C16" s="27" t="s">
        <v>146</v>
      </c>
      <c r="D16" s="27" t="s">
        <v>147</v>
      </c>
      <c r="E16" s="36">
        <v>20</v>
      </c>
      <c r="H16" s="40" t="s">
        <v>145</v>
      </c>
      <c r="I16" s="29">
        <v>125</v>
      </c>
    </row>
    <row r="17" spans="2:9">
      <c r="B17" s="35">
        <v>42791</v>
      </c>
      <c r="C17" s="24" t="s">
        <v>146</v>
      </c>
      <c r="D17" s="24" t="s">
        <v>145</v>
      </c>
      <c r="E17" s="34">
        <v>125</v>
      </c>
      <c r="H17" s="30" t="s">
        <v>150</v>
      </c>
      <c r="I17" s="29">
        <v>834</v>
      </c>
    </row>
  </sheetData>
  <hyperlinks>
    <hyperlink ref="A5" r:id="rId2" tooltip="Select to give feedback" xr:uid="{958FED02-AF4D-4111-B03C-6CBB790F594F}"/>
  </hyperlinks>
  <printOptions horizontalCentered="1"/>
  <pageMargins left="0.7" right="0.7" top="0.75" bottom="0.75" header="0.3" footer="0.3"/>
  <pageSetup scale="21" fitToHeight="0" orientation="portrait" verticalDpi="200" r:id="rId3"/>
  <headerFooter differentFirst="1">
    <oddFooter>Page &amp;P of &amp;N</oddFooter>
  </headerFooter>
  <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793CB-F597-47B4-899A-EEA9ED29195B}">
  <sheetPr>
    <pageSetUpPr fitToPage="1"/>
  </sheetPr>
  <dimension ref="A1:I17"/>
  <sheetViews>
    <sheetView showGridLines="0" showRowColHeaders="0" zoomScaleNormal="100" workbookViewId="0"/>
  </sheetViews>
  <sheetFormatPr defaultColWidth="9.1796875" defaultRowHeight="14.5"/>
  <cols>
    <col min="1" max="1" width="9.1796875" style="22"/>
    <col min="2" max="4" width="9.1796875" style="30"/>
    <col min="5" max="5" width="10.26953125" style="30" customWidth="1"/>
    <col min="6" max="6" width="9.1796875" style="30"/>
    <col min="7" max="7" width="14.81640625" style="30" bestFit="1" customWidth="1"/>
    <col min="8" max="8" width="10.7265625" style="30" customWidth="1"/>
    <col min="9" max="9" width="14" style="30" customWidth="1"/>
    <col min="10" max="16384" width="9.1796875" style="30"/>
  </cols>
  <sheetData>
    <row r="1" spans="1:9">
      <c r="A1" s="22" t="s">
        <v>190</v>
      </c>
    </row>
    <row r="2" spans="1:9">
      <c r="A2" s="22" t="s">
        <v>163</v>
      </c>
    </row>
    <row r="3" spans="1:9">
      <c r="A3" s="22" t="s">
        <v>189</v>
      </c>
    </row>
    <row r="4" spans="1:9">
      <c r="A4" s="22" t="s">
        <v>161</v>
      </c>
    </row>
    <row r="5" spans="1:9">
      <c r="A5" s="22" t="s">
        <v>160</v>
      </c>
    </row>
    <row r="10" spans="1:9">
      <c r="B10" s="32" t="s">
        <v>159</v>
      </c>
      <c r="C10" s="32" t="s">
        <v>156</v>
      </c>
      <c r="D10" s="32" t="s">
        <v>158</v>
      </c>
      <c r="E10" s="32" t="s">
        <v>157</v>
      </c>
      <c r="H10" s="40" t="s">
        <v>156</v>
      </c>
      <c r="I10" s="30" t="s">
        <v>155</v>
      </c>
    </row>
    <row r="11" spans="1:9">
      <c r="B11" s="25">
        <v>42736</v>
      </c>
      <c r="C11" s="24" t="s">
        <v>149</v>
      </c>
      <c r="D11" s="24" t="s">
        <v>154</v>
      </c>
      <c r="E11" s="23">
        <v>74</v>
      </c>
      <c r="H11" s="40" t="s">
        <v>153</v>
      </c>
      <c r="I11" s="29">
        <v>20</v>
      </c>
    </row>
    <row r="12" spans="1:9">
      <c r="B12" s="28">
        <v>42750</v>
      </c>
      <c r="C12" s="27" t="s">
        <v>149</v>
      </c>
      <c r="D12" s="27" t="s">
        <v>148</v>
      </c>
      <c r="E12" s="26">
        <v>235</v>
      </c>
      <c r="H12" s="40" t="s">
        <v>146</v>
      </c>
      <c r="I12" s="29">
        <v>270</v>
      </c>
    </row>
    <row r="13" spans="1:9">
      <c r="B13" s="25">
        <v>42752</v>
      </c>
      <c r="C13" s="24" t="s">
        <v>153</v>
      </c>
      <c r="D13" s="24" t="s">
        <v>152</v>
      </c>
      <c r="E13" s="23">
        <v>20</v>
      </c>
      <c r="H13" s="40" t="s">
        <v>149</v>
      </c>
      <c r="I13" s="29">
        <v>544</v>
      </c>
    </row>
    <row r="14" spans="1:9">
      <c r="B14" s="28">
        <v>42756</v>
      </c>
      <c r="C14" s="27" t="s">
        <v>146</v>
      </c>
      <c r="D14" s="27" t="s">
        <v>151</v>
      </c>
      <c r="E14" s="26">
        <v>125</v>
      </c>
      <c r="H14" s="30" t="s">
        <v>150</v>
      </c>
      <c r="I14" s="29">
        <v>834</v>
      </c>
    </row>
    <row r="15" spans="1:9">
      <c r="B15" s="25">
        <v>42768</v>
      </c>
      <c r="C15" s="24" t="s">
        <v>149</v>
      </c>
      <c r="D15" s="24" t="s">
        <v>148</v>
      </c>
      <c r="E15" s="23">
        <v>235</v>
      </c>
    </row>
    <row r="16" spans="1:9">
      <c r="B16" s="28">
        <v>42786</v>
      </c>
      <c r="C16" s="27" t="s">
        <v>146</v>
      </c>
      <c r="D16" s="27" t="s">
        <v>147</v>
      </c>
      <c r="E16" s="26">
        <v>20</v>
      </c>
    </row>
    <row r="17" spans="2:5">
      <c r="B17" s="25">
        <v>42791</v>
      </c>
      <c r="C17" s="24" t="s">
        <v>146</v>
      </c>
      <c r="D17" s="24" t="s">
        <v>145</v>
      </c>
      <c r="E17" s="23">
        <v>125</v>
      </c>
    </row>
  </sheetData>
  <hyperlinks>
    <hyperlink ref="A5" r:id="rId2" tooltip="Select to give feedback" xr:uid="{2B47F762-087C-4826-91BE-000C30A708EB}"/>
  </hyperlinks>
  <printOptions horizontalCentered="1"/>
  <pageMargins left="0.7" right="0.7" top="0.75" bottom="0.75" header="0.3" footer="0.3"/>
  <pageSetup scale="25" fitToHeight="0" orientation="portrait" verticalDpi="200" r:id="rId3"/>
  <headerFooter differentFirst="1">
    <oddFooter>Page &amp;P of &amp;N</oddFooter>
  </headerFooter>
  <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3E79B-69B4-4C13-8337-6D79EE77063A}">
  <sheetPr>
    <pageSetUpPr fitToPage="1"/>
  </sheetPr>
  <dimension ref="A1:I17"/>
  <sheetViews>
    <sheetView showGridLines="0" showRowColHeaders="0" zoomScaleNormal="100" workbookViewId="0"/>
  </sheetViews>
  <sheetFormatPr defaultColWidth="9.1796875" defaultRowHeight="14.5"/>
  <cols>
    <col min="1" max="1" width="9.1796875" style="22"/>
    <col min="2" max="4" width="9.1796875" style="30"/>
    <col min="5" max="5" width="10.26953125" style="30" customWidth="1"/>
    <col min="6" max="6" width="9.1796875" style="30"/>
    <col min="7" max="7" width="14.81640625" style="30" bestFit="1" customWidth="1"/>
    <col min="8" max="8" width="10.7265625" style="30" customWidth="1"/>
    <col min="9" max="9" width="14" style="30" customWidth="1"/>
    <col min="10" max="16384" width="9.1796875" style="30"/>
  </cols>
  <sheetData>
    <row r="1" spans="1:9">
      <c r="A1" s="22" t="s">
        <v>194</v>
      </c>
    </row>
    <row r="2" spans="1:9">
      <c r="A2" s="22" t="s">
        <v>193</v>
      </c>
    </row>
    <row r="3" spans="1:9">
      <c r="A3" s="22" t="s">
        <v>192</v>
      </c>
    </row>
    <row r="4" spans="1:9">
      <c r="A4" s="22" t="s">
        <v>191</v>
      </c>
    </row>
    <row r="5" spans="1:9">
      <c r="A5" s="22" t="s">
        <v>161</v>
      </c>
    </row>
    <row r="6" spans="1:9">
      <c r="A6" s="22" t="s">
        <v>160</v>
      </c>
    </row>
    <row r="10" spans="1:9">
      <c r="B10" s="32" t="s">
        <v>159</v>
      </c>
      <c r="C10" s="32" t="s">
        <v>156</v>
      </c>
      <c r="D10" s="32" t="s">
        <v>158</v>
      </c>
      <c r="E10" s="32" t="s">
        <v>157</v>
      </c>
      <c r="H10" s="31" t="s">
        <v>156</v>
      </c>
      <c r="I10" s="30" t="s">
        <v>155</v>
      </c>
    </row>
    <row r="11" spans="1:9">
      <c r="B11" s="25">
        <v>42736</v>
      </c>
      <c r="C11" s="24" t="s">
        <v>149</v>
      </c>
      <c r="D11" s="24" t="s">
        <v>154</v>
      </c>
      <c r="E11" s="23">
        <v>74</v>
      </c>
      <c r="H11" s="30" t="s">
        <v>153</v>
      </c>
      <c r="I11" s="29">
        <v>20</v>
      </c>
    </row>
    <row r="12" spans="1:9">
      <c r="B12" s="28">
        <v>42750</v>
      </c>
      <c r="C12" s="27" t="s">
        <v>149</v>
      </c>
      <c r="D12" s="27" t="s">
        <v>148</v>
      </c>
      <c r="E12" s="26">
        <v>235</v>
      </c>
      <c r="H12" s="30" t="s">
        <v>146</v>
      </c>
      <c r="I12" s="29">
        <v>270</v>
      </c>
    </row>
    <row r="13" spans="1:9">
      <c r="B13" s="25">
        <v>42752</v>
      </c>
      <c r="C13" s="24" t="s">
        <v>153</v>
      </c>
      <c r="D13" s="24" t="s">
        <v>152</v>
      </c>
      <c r="E13" s="23">
        <v>20</v>
      </c>
      <c r="H13" s="30" t="s">
        <v>149</v>
      </c>
      <c r="I13" s="29">
        <v>544</v>
      </c>
    </row>
    <row r="14" spans="1:9">
      <c r="B14" s="28">
        <v>42756</v>
      </c>
      <c r="C14" s="27" t="s">
        <v>146</v>
      </c>
      <c r="D14" s="27" t="s">
        <v>151</v>
      </c>
      <c r="E14" s="26">
        <v>125</v>
      </c>
      <c r="H14" s="30" t="s">
        <v>150</v>
      </c>
      <c r="I14" s="29">
        <v>834</v>
      </c>
    </row>
    <row r="15" spans="1:9">
      <c r="B15" s="25">
        <v>42768</v>
      </c>
      <c r="C15" s="24" t="s">
        <v>149</v>
      </c>
      <c r="D15" s="24" t="s">
        <v>148</v>
      </c>
      <c r="E15" s="23">
        <v>235</v>
      </c>
    </row>
    <row r="16" spans="1:9">
      <c r="B16" s="28">
        <v>42786</v>
      </c>
      <c r="C16" s="27" t="s">
        <v>146</v>
      </c>
      <c r="D16" s="27" t="s">
        <v>147</v>
      </c>
      <c r="E16" s="26">
        <v>20</v>
      </c>
    </row>
    <row r="17" spans="2:5">
      <c r="B17" s="25">
        <v>42791</v>
      </c>
      <c r="C17" s="24" t="s">
        <v>146</v>
      </c>
      <c r="D17" s="24" t="s">
        <v>145</v>
      </c>
      <c r="E17" s="23">
        <v>125</v>
      </c>
    </row>
  </sheetData>
  <hyperlinks>
    <hyperlink ref="A6" r:id="rId2" tooltip="Select to give feedback" xr:uid="{1D12B2C8-B08D-4F37-9132-9BB1D5079640}"/>
  </hyperlinks>
  <printOptions horizontalCentered="1"/>
  <pageMargins left="0.7" right="0.7" top="0.75" bottom="0.75" header="0.3" footer="0.3"/>
  <pageSetup scale="28" fitToHeight="0" orientation="portrait" verticalDpi="200" r:id="rId3"/>
  <headerFooter differentFirst="1">
    <oddFooter>Page &amp;P of &amp;N</oddFooter>
  </headerFooter>
  <drawing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821FA-86B8-45C9-A296-1A613E3333D7}">
  <sheetPr>
    <pageSetUpPr fitToPage="1"/>
  </sheetPr>
  <dimension ref="A1:F21"/>
  <sheetViews>
    <sheetView showGridLines="0" showRowColHeaders="0" topLeftCell="A23" zoomScaleNormal="100" workbookViewId="0"/>
  </sheetViews>
  <sheetFormatPr defaultColWidth="8.7265625" defaultRowHeight="14.5"/>
  <cols>
    <col min="1" max="1" width="8.7265625" style="22"/>
    <col min="2" max="4" width="8.7265625" style="17"/>
    <col min="5" max="6" width="10.26953125" style="17" customWidth="1"/>
    <col min="7" max="7" width="14.81640625" style="17" bestFit="1" customWidth="1"/>
    <col min="8" max="8" width="8.453125" style="17" bestFit="1" customWidth="1"/>
    <col min="9" max="9" width="14.81640625" style="17" bestFit="1" customWidth="1"/>
    <col min="10" max="16384" width="8.7265625" style="17"/>
  </cols>
  <sheetData>
    <row r="1" spans="1:6">
      <c r="A1" s="22" t="s">
        <v>198</v>
      </c>
    </row>
    <row r="2" spans="1:6">
      <c r="A2" s="22" t="s">
        <v>197</v>
      </c>
    </row>
    <row r="3" spans="1:6">
      <c r="A3" s="22" t="s">
        <v>196</v>
      </c>
    </row>
    <row r="4" spans="1:6">
      <c r="A4" s="22" t="s">
        <v>195</v>
      </c>
    </row>
    <row r="5" spans="1:6">
      <c r="A5" s="22" t="s">
        <v>161</v>
      </c>
    </row>
    <row r="6" spans="1:6">
      <c r="A6" s="22" t="s">
        <v>160</v>
      </c>
    </row>
    <row r="14" spans="1:6">
      <c r="C14" s="32" t="s">
        <v>159</v>
      </c>
      <c r="D14" s="32" t="s">
        <v>156</v>
      </c>
      <c r="E14" s="32" t="s">
        <v>158</v>
      </c>
      <c r="F14" s="32" t="s">
        <v>157</v>
      </c>
    </row>
    <row r="15" spans="1:6">
      <c r="C15" s="25">
        <v>42736</v>
      </c>
      <c r="D15" s="24" t="s">
        <v>149</v>
      </c>
      <c r="E15" s="24" t="s">
        <v>154</v>
      </c>
      <c r="F15" s="23">
        <v>74</v>
      </c>
    </row>
    <row r="16" spans="1:6">
      <c r="C16" s="28">
        <v>42750</v>
      </c>
      <c r="D16" s="27" t="s">
        <v>149</v>
      </c>
      <c r="E16" s="27" t="s">
        <v>148</v>
      </c>
      <c r="F16" s="26">
        <v>235</v>
      </c>
    </row>
    <row r="17" spans="3:6">
      <c r="C17" s="25">
        <v>42752</v>
      </c>
      <c r="D17" s="24" t="s">
        <v>153</v>
      </c>
      <c r="E17" s="24" t="s">
        <v>152</v>
      </c>
      <c r="F17" s="23">
        <v>20</v>
      </c>
    </row>
    <row r="18" spans="3:6">
      <c r="C18" s="28">
        <v>42756</v>
      </c>
      <c r="D18" s="27" t="s">
        <v>146</v>
      </c>
      <c r="E18" s="27" t="s">
        <v>151</v>
      </c>
      <c r="F18" s="26">
        <v>125</v>
      </c>
    </row>
    <row r="19" spans="3:6">
      <c r="C19" s="25">
        <v>42768</v>
      </c>
      <c r="D19" s="24" t="s">
        <v>149</v>
      </c>
      <c r="E19" s="24" t="s">
        <v>148</v>
      </c>
      <c r="F19" s="23">
        <v>235</v>
      </c>
    </row>
    <row r="20" spans="3:6">
      <c r="C20" s="28">
        <v>42786</v>
      </c>
      <c r="D20" s="27" t="s">
        <v>146</v>
      </c>
      <c r="E20" s="27" t="s">
        <v>147</v>
      </c>
      <c r="F20" s="26">
        <v>20</v>
      </c>
    </row>
    <row r="21" spans="3:6">
      <c r="C21" s="25">
        <v>42791</v>
      </c>
      <c r="D21" s="24" t="s">
        <v>146</v>
      </c>
      <c r="E21" s="24" t="s">
        <v>145</v>
      </c>
      <c r="F21" s="23">
        <v>125</v>
      </c>
    </row>
  </sheetData>
  <hyperlinks>
    <hyperlink ref="A6" r:id="rId1" tooltip="Select to give feedback" xr:uid="{A3E0019C-E279-4EE8-A23B-A63094D4E70E}"/>
  </hyperlinks>
  <printOptions horizontalCentered="1"/>
  <pageMargins left="0.7" right="0.7" top="0.75" bottom="0.75" header="0.3" footer="0.3"/>
  <pageSetup scale="64" fitToHeight="0" orientation="portrait" verticalDpi="200" r:id="rId2"/>
  <headerFooter differentFirst="1">
    <oddFooter>Page &amp;P of &amp;N</oddFooter>
  </headerFooter>
  <drawing r:id="rId3"/>
  <tableParts count="1">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0D925-04DA-40D4-AF33-4FBB8F41F0F2}">
  <sheetPr>
    <pageSetUpPr fitToPage="1"/>
  </sheetPr>
  <dimension ref="A1:A5"/>
  <sheetViews>
    <sheetView showGridLines="0" showRowColHeaders="0" topLeftCell="A24" zoomScaleNormal="100" workbookViewId="0"/>
  </sheetViews>
  <sheetFormatPr defaultColWidth="8.7265625" defaultRowHeight="14.5"/>
  <cols>
    <col min="1" max="1" width="8.7265625" style="22"/>
    <col min="2" max="4" width="8.7265625" style="17"/>
    <col min="5" max="5" width="10.26953125" style="17" customWidth="1"/>
    <col min="6" max="6" width="8.7265625" style="17"/>
    <col min="7" max="7" width="14.81640625" style="17" bestFit="1" customWidth="1"/>
    <col min="8" max="8" width="8.453125" style="17" bestFit="1" customWidth="1"/>
    <col min="9" max="9" width="14.81640625" style="17" bestFit="1" customWidth="1"/>
    <col min="10" max="16384" width="8.7265625" style="17"/>
  </cols>
  <sheetData>
    <row r="1" spans="1:1">
      <c r="A1" s="22" t="s">
        <v>201</v>
      </c>
    </row>
    <row r="2" spans="1:1">
      <c r="A2" s="22" t="s">
        <v>200</v>
      </c>
    </row>
    <row r="3" spans="1:1" ht="14.5" customHeight="1">
      <c r="A3" s="41" t="s">
        <v>199</v>
      </c>
    </row>
    <row r="4" spans="1:1">
      <c r="A4" s="22" t="s">
        <v>161</v>
      </c>
    </row>
    <row r="5" spans="1:1">
      <c r="A5" s="22" t="s">
        <v>160</v>
      </c>
    </row>
  </sheetData>
  <hyperlinks>
    <hyperlink ref="A5" r:id="rId1" tooltip="Select to give feedback" xr:uid="{8F66FDFD-8B4A-4CCF-AF05-0E147D6B2A68}"/>
  </hyperlinks>
  <printOptions horizontalCentered="1"/>
  <pageMargins left="0.7" right="0.7" top="0.75" bottom="0.75" header="0.3" footer="0.3"/>
  <pageSetup scale="61" fitToHeight="0" orientation="portrait" verticalDpi="200" r:id="rId2"/>
  <headerFooter differentFirst="1">
    <oddFooter>Page &amp;P of &amp;N</oddFooter>
  </headerFooter>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A75C0-E415-4B98-BBD6-6111ED9FDF1B}">
  <sheetPr>
    <pageSetUpPr fitToPage="1"/>
  </sheetPr>
  <dimension ref="A1:I30"/>
  <sheetViews>
    <sheetView showGridLines="0" showRowColHeaders="0" topLeftCell="A19" zoomScaleNormal="100" workbookViewId="0"/>
  </sheetViews>
  <sheetFormatPr defaultColWidth="8.7265625" defaultRowHeight="14.5"/>
  <cols>
    <col min="1" max="1" width="8.7265625" style="22"/>
    <col min="2" max="4" width="8.7265625" style="17"/>
    <col min="5" max="5" width="14" style="17" customWidth="1"/>
    <col min="6" max="6" width="8.7265625" style="17"/>
    <col min="7" max="7" width="13.453125" style="17" customWidth="1"/>
    <col min="8" max="8" width="8.453125" style="17" bestFit="1" customWidth="1"/>
    <col min="9" max="9" width="14.81640625" style="17" bestFit="1" customWidth="1"/>
    <col min="10" max="16384" width="8.7265625" style="17"/>
  </cols>
  <sheetData>
    <row r="1" spans="1:9">
      <c r="A1" s="22" t="s">
        <v>204</v>
      </c>
    </row>
    <row r="2" spans="1:9">
      <c r="A2" s="22" t="s">
        <v>203</v>
      </c>
    </row>
    <row r="3" spans="1:9">
      <c r="A3" s="22" t="s">
        <v>202</v>
      </c>
    </row>
    <row r="4" spans="1:9">
      <c r="A4" s="22" t="s">
        <v>161</v>
      </c>
    </row>
    <row r="5" spans="1:9">
      <c r="A5" s="22" t="s">
        <v>160</v>
      </c>
    </row>
    <row r="12" spans="1:9">
      <c r="E12" s="30" t="s">
        <v>155</v>
      </c>
      <c r="F12" s="30"/>
      <c r="G12" s="30"/>
    </row>
    <row r="13" spans="1:9">
      <c r="B13" s="30"/>
      <c r="C13" s="30"/>
      <c r="D13" s="30"/>
      <c r="E13" s="29">
        <v>834</v>
      </c>
      <c r="F13" s="30"/>
      <c r="G13" s="30"/>
      <c r="H13" s="30"/>
      <c r="I13" s="30"/>
    </row>
    <row r="14" spans="1:9">
      <c r="B14" s="42"/>
      <c r="C14" s="30"/>
      <c r="D14" s="30"/>
      <c r="E14" s="30"/>
      <c r="F14" s="30"/>
      <c r="G14" s="30"/>
      <c r="H14" s="30"/>
      <c r="I14" s="30"/>
    </row>
    <row r="15" spans="1:9">
      <c r="B15" s="42"/>
      <c r="C15" s="30"/>
      <c r="D15" s="30"/>
      <c r="E15" s="30"/>
      <c r="F15" s="30"/>
      <c r="G15" s="30"/>
      <c r="H15" s="30"/>
      <c r="I15" s="30"/>
    </row>
    <row r="16" spans="1:9">
      <c r="B16" s="42"/>
      <c r="C16" s="30"/>
      <c r="D16" s="30"/>
      <c r="E16" s="30"/>
      <c r="F16" s="30"/>
      <c r="G16" s="30"/>
      <c r="H16" s="30"/>
      <c r="I16" s="30"/>
    </row>
    <row r="17" spans="2:9">
      <c r="B17" s="42"/>
      <c r="C17" s="30"/>
      <c r="D17" s="30"/>
      <c r="E17" s="30"/>
      <c r="F17" s="30"/>
      <c r="G17" s="30"/>
      <c r="H17" s="30"/>
      <c r="I17" s="30"/>
    </row>
    <row r="18" spans="2:9">
      <c r="B18" s="42"/>
      <c r="C18" s="30"/>
      <c r="D18" s="30"/>
      <c r="E18" s="30"/>
      <c r="F18" s="30"/>
      <c r="G18" s="30"/>
      <c r="H18" s="30"/>
      <c r="I18" s="30"/>
    </row>
    <row r="19" spans="2:9">
      <c r="B19" s="42"/>
      <c r="C19" s="30"/>
      <c r="D19" s="30"/>
      <c r="E19" s="30"/>
      <c r="F19" s="30"/>
      <c r="G19" s="30"/>
      <c r="H19" s="30"/>
      <c r="I19" s="30"/>
    </row>
    <row r="20" spans="2:9">
      <c r="B20" s="42"/>
      <c r="C20" s="30"/>
      <c r="D20" s="30"/>
      <c r="E20" s="30"/>
      <c r="F20" s="30"/>
      <c r="G20" s="30"/>
      <c r="H20" s="30"/>
      <c r="I20" s="30"/>
    </row>
    <row r="21" spans="2:9">
      <c r="E21" s="30"/>
      <c r="F21" s="30"/>
      <c r="G21" s="30"/>
      <c r="H21" s="30"/>
      <c r="I21" s="30"/>
    </row>
    <row r="22" spans="2:9">
      <c r="E22" s="30"/>
      <c r="F22" s="30"/>
      <c r="G22" s="30"/>
      <c r="H22" s="30"/>
      <c r="I22" s="30"/>
    </row>
    <row r="23" spans="2:9">
      <c r="E23" s="30"/>
      <c r="F23" s="30"/>
      <c r="G23" s="30"/>
      <c r="H23" s="30"/>
      <c r="I23" s="30"/>
    </row>
    <row r="24" spans="2:9">
      <c r="E24" s="30"/>
      <c r="F24" s="30"/>
      <c r="G24" s="30"/>
      <c r="H24" s="30"/>
      <c r="I24" s="30"/>
    </row>
    <row r="25" spans="2:9">
      <c r="E25" s="30"/>
      <c r="F25" s="30"/>
      <c r="G25" s="30"/>
      <c r="H25" s="30"/>
      <c r="I25" s="30"/>
    </row>
    <row r="26" spans="2:9">
      <c r="E26" s="30"/>
      <c r="F26" s="30"/>
      <c r="G26" s="30"/>
      <c r="H26" s="30"/>
      <c r="I26" s="30"/>
    </row>
    <row r="27" spans="2:9">
      <c r="E27" s="30"/>
      <c r="F27" s="30"/>
      <c r="G27" s="30"/>
      <c r="H27" s="30"/>
      <c r="I27" s="30"/>
    </row>
    <row r="28" spans="2:9">
      <c r="E28" s="30"/>
      <c r="F28" s="30"/>
      <c r="G28" s="30"/>
      <c r="H28" s="30"/>
      <c r="I28" s="30"/>
    </row>
    <row r="29" spans="2:9">
      <c r="E29" s="30"/>
      <c r="F29" s="30"/>
      <c r="G29" s="30"/>
      <c r="H29" s="30"/>
      <c r="I29" s="30"/>
    </row>
    <row r="30" spans="2:9">
      <c r="G30" s="30"/>
      <c r="H30" s="30"/>
      <c r="I30" s="30"/>
    </row>
  </sheetData>
  <hyperlinks>
    <hyperlink ref="A5" r:id="rId2" tooltip="Select to give feedback" xr:uid="{BB925EAF-E22D-48A5-8C4A-D39F6B012895}"/>
  </hyperlinks>
  <printOptions horizontalCentered="1"/>
  <pageMargins left="0.7" right="0.7" top="0.75" bottom="0.75" header="0.3" footer="0.3"/>
  <pageSetup scale="36" fitToHeight="0" orientation="portrait" verticalDpi="200" r:id="rId3"/>
  <headerFooter differentFirst="1">
    <oddFooter>Page &amp;P of &amp;N</oddFooter>
  </headerFooter>
  <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8569A-B958-43A4-8A30-3F9B0F5A6794}">
  <sheetPr>
    <pageSetUpPr fitToPage="1"/>
  </sheetPr>
  <dimension ref="A1:I30"/>
  <sheetViews>
    <sheetView showGridLines="0" showRowColHeaders="0" topLeftCell="A25" zoomScaleNormal="100" workbookViewId="0"/>
  </sheetViews>
  <sheetFormatPr defaultColWidth="8.7265625" defaultRowHeight="14.5"/>
  <cols>
    <col min="1" max="1" width="8.7265625" style="22"/>
    <col min="2" max="4" width="8.7265625" style="17"/>
    <col min="5" max="5" width="14" style="17" customWidth="1"/>
    <col min="6" max="6" width="8.7265625" style="17"/>
    <col min="7" max="7" width="13.453125" style="17" customWidth="1"/>
    <col min="8" max="8" width="8.453125" style="17" bestFit="1" customWidth="1"/>
    <col min="9" max="9" width="14.81640625" style="17" bestFit="1" customWidth="1"/>
    <col min="10" max="16384" width="8.7265625" style="17"/>
  </cols>
  <sheetData>
    <row r="1" spans="1:9">
      <c r="A1" s="22" t="s">
        <v>207</v>
      </c>
    </row>
    <row r="2" spans="1:9">
      <c r="A2" s="22" t="s">
        <v>206</v>
      </c>
    </row>
    <row r="3" spans="1:9">
      <c r="A3" s="22" t="s">
        <v>205</v>
      </c>
    </row>
    <row r="4" spans="1:9">
      <c r="A4" s="22" t="s">
        <v>161</v>
      </c>
    </row>
    <row r="5" spans="1:9">
      <c r="A5" s="22" t="s">
        <v>160</v>
      </c>
    </row>
    <row r="12" spans="1:9">
      <c r="E12" s="30" t="s">
        <v>155</v>
      </c>
    </row>
    <row r="13" spans="1:9">
      <c r="B13" s="30"/>
      <c r="C13" s="30"/>
      <c r="D13" s="30"/>
      <c r="E13" s="29">
        <v>834</v>
      </c>
      <c r="H13" s="30"/>
      <c r="I13" s="30"/>
    </row>
    <row r="14" spans="1:9">
      <c r="B14" s="42"/>
      <c r="C14" s="30"/>
      <c r="D14" s="30"/>
      <c r="E14" s="43"/>
      <c r="H14" s="30"/>
      <c r="I14" s="30"/>
    </row>
    <row r="15" spans="1:9">
      <c r="B15" s="42"/>
      <c r="C15" s="30"/>
      <c r="D15" s="30"/>
      <c r="E15" s="43"/>
      <c r="G15" s="30"/>
      <c r="H15" s="30"/>
      <c r="I15" s="30"/>
    </row>
    <row r="16" spans="1:9">
      <c r="B16" s="42"/>
      <c r="C16" s="30"/>
      <c r="D16" s="30"/>
      <c r="E16" s="43"/>
      <c r="G16" s="30"/>
      <c r="H16" s="30"/>
      <c r="I16" s="30"/>
    </row>
    <row r="17" spans="2:9">
      <c r="B17" s="42"/>
      <c r="C17" s="30"/>
      <c r="D17" s="30"/>
      <c r="E17" s="43"/>
      <c r="G17" s="30"/>
      <c r="H17" s="30"/>
      <c r="I17" s="30"/>
    </row>
    <row r="18" spans="2:9">
      <c r="B18" s="42"/>
      <c r="C18" s="30"/>
      <c r="D18" s="30"/>
      <c r="E18" s="43"/>
      <c r="G18" s="30"/>
      <c r="H18" s="30"/>
      <c r="I18" s="30"/>
    </row>
    <row r="19" spans="2:9">
      <c r="B19" s="42"/>
      <c r="C19" s="30"/>
      <c r="D19" s="30"/>
      <c r="E19" s="43"/>
      <c r="G19" s="30"/>
      <c r="H19" s="30"/>
      <c r="I19" s="30"/>
    </row>
    <row r="20" spans="2:9">
      <c r="B20" s="42"/>
      <c r="C20" s="30"/>
      <c r="D20" s="30"/>
      <c r="E20" s="43"/>
      <c r="G20" s="30"/>
      <c r="H20" s="30"/>
      <c r="I20" s="30"/>
    </row>
    <row r="21" spans="2:9">
      <c r="G21" s="30"/>
      <c r="H21" s="30"/>
      <c r="I21" s="30"/>
    </row>
    <row r="22" spans="2:9">
      <c r="G22" s="30"/>
      <c r="H22" s="30"/>
      <c r="I22" s="30"/>
    </row>
    <row r="23" spans="2:9">
      <c r="G23" s="30"/>
      <c r="H23" s="30"/>
      <c r="I23" s="30"/>
    </row>
    <row r="24" spans="2:9">
      <c r="G24" s="30"/>
      <c r="H24" s="30"/>
      <c r="I24" s="30"/>
    </row>
    <row r="25" spans="2:9">
      <c r="G25" s="30"/>
      <c r="H25" s="30"/>
      <c r="I25" s="30"/>
    </row>
    <row r="26" spans="2:9">
      <c r="G26" s="30"/>
      <c r="H26" s="30"/>
      <c r="I26" s="30"/>
    </row>
    <row r="27" spans="2:9">
      <c r="G27" s="30"/>
      <c r="H27" s="30"/>
      <c r="I27" s="30"/>
    </row>
    <row r="28" spans="2:9">
      <c r="G28" s="30"/>
      <c r="H28" s="30"/>
      <c r="I28" s="30"/>
    </row>
    <row r="29" spans="2:9">
      <c r="G29" s="30"/>
      <c r="H29" s="30"/>
      <c r="I29" s="30"/>
    </row>
    <row r="30" spans="2:9">
      <c r="G30" s="30"/>
      <c r="H30" s="30"/>
      <c r="I30" s="30"/>
    </row>
  </sheetData>
  <hyperlinks>
    <hyperlink ref="A5" r:id="rId2" tooltip="Select to give feedback" xr:uid="{DBB7F3DD-A9A0-40F4-90DC-CDF69AD5CB12}"/>
  </hyperlinks>
  <printOptions horizontalCentered="1"/>
  <pageMargins left="0.7" right="0.7" top="0.75" bottom="0.75" header="0.3" footer="0.3"/>
  <pageSetup scale="68" fitToHeight="0" orientation="portrait" verticalDpi="200" r:id="rId3"/>
  <headerFooter differentFirst="1">
    <oddFooter>Page &amp;P of &amp;N</oddFooter>
  </headerFooter>
  <drawing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BB432-3F5C-42EC-9A01-09CED742DEAA}">
  <sheetPr>
    <pageSetUpPr fitToPage="1"/>
  </sheetPr>
  <dimension ref="A1:I30"/>
  <sheetViews>
    <sheetView showGridLines="0" showRowColHeaders="0" topLeftCell="A24" zoomScaleNormal="100" workbookViewId="0"/>
  </sheetViews>
  <sheetFormatPr defaultColWidth="8.7265625" defaultRowHeight="14.5"/>
  <cols>
    <col min="1" max="1" width="8.7265625" style="22"/>
    <col min="2" max="2" width="8.7265625" style="17"/>
    <col min="3" max="3" width="8.7265625" style="17" customWidth="1"/>
    <col min="4" max="4" width="12.453125" style="17" customWidth="1"/>
    <col min="5" max="5" width="14" style="17" customWidth="1"/>
    <col min="6" max="6" width="14.1796875" style="17" bestFit="1" customWidth="1"/>
    <col min="7" max="7" width="13.453125" style="17" customWidth="1"/>
    <col min="8" max="8" width="8.453125" style="17" bestFit="1" customWidth="1"/>
    <col min="9" max="9" width="14.81640625" style="17" bestFit="1" customWidth="1"/>
    <col min="10" max="16384" width="8.7265625" style="17"/>
  </cols>
  <sheetData>
    <row r="1" spans="1:9">
      <c r="A1" s="22" t="s">
        <v>211</v>
      </c>
    </row>
    <row r="2" spans="1:9">
      <c r="A2" s="22" t="s">
        <v>210</v>
      </c>
    </row>
    <row r="3" spans="1:9">
      <c r="A3" s="22" t="s">
        <v>209</v>
      </c>
    </row>
    <row r="4" spans="1:9">
      <c r="A4" s="22" t="s">
        <v>208</v>
      </c>
    </row>
    <row r="5" spans="1:9">
      <c r="A5" s="22" t="s">
        <v>161</v>
      </c>
    </row>
    <row r="6" spans="1:9">
      <c r="A6" s="22" t="s">
        <v>160</v>
      </c>
    </row>
    <row r="12" spans="1:9">
      <c r="D12" s="31" t="s">
        <v>167</v>
      </c>
      <c r="E12" s="30" t="s">
        <v>155</v>
      </c>
    </row>
    <row r="13" spans="1:9">
      <c r="B13" s="30"/>
      <c r="C13" s="30"/>
      <c r="D13" s="33" t="s">
        <v>153</v>
      </c>
      <c r="E13" s="29">
        <v>20</v>
      </c>
      <c r="H13" s="30"/>
      <c r="I13" s="30"/>
    </row>
    <row r="14" spans="1:9">
      <c r="B14" s="42"/>
      <c r="C14" s="30"/>
      <c r="D14" s="33" t="s">
        <v>146</v>
      </c>
      <c r="E14" s="29">
        <v>270</v>
      </c>
      <c r="H14" s="30"/>
      <c r="I14" s="30"/>
    </row>
    <row r="15" spans="1:9">
      <c r="B15" s="42"/>
      <c r="C15" s="30"/>
      <c r="D15" s="33" t="s">
        <v>149</v>
      </c>
      <c r="E15" s="29">
        <v>544</v>
      </c>
      <c r="G15" s="30"/>
      <c r="H15" s="30"/>
      <c r="I15" s="30"/>
    </row>
    <row r="16" spans="1:9">
      <c r="B16" s="42"/>
      <c r="C16" s="30"/>
      <c r="D16" s="33" t="s">
        <v>150</v>
      </c>
      <c r="E16" s="29">
        <v>834</v>
      </c>
      <c r="G16" s="30"/>
      <c r="H16" s="30"/>
      <c r="I16" s="30"/>
    </row>
    <row r="17" spans="2:9">
      <c r="B17" s="42"/>
      <c r="C17" s="30"/>
      <c r="D17" s="30"/>
      <c r="E17" s="43"/>
      <c r="G17" s="30"/>
      <c r="H17" s="30"/>
      <c r="I17" s="30"/>
    </row>
    <row r="18" spans="2:9">
      <c r="B18" s="42"/>
      <c r="C18" s="30"/>
      <c r="D18" s="30"/>
      <c r="E18" s="43"/>
      <c r="G18" s="30"/>
      <c r="H18" s="30"/>
      <c r="I18" s="30"/>
    </row>
    <row r="19" spans="2:9">
      <c r="B19" s="42"/>
      <c r="C19" s="30"/>
      <c r="D19" s="30"/>
      <c r="E19" s="43"/>
      <c r="G19" s="30"/>
      <c r="H19" s="30"/>
      <c r="I19" s="30"/>
    </row>
    <row r="20" spans="2:9">
      <c r="B20" s="42"/>
      <c r="C20" s="30"/>
      <c r="D20" s="30"/>
      <c r="E20" s="43"/>
      <c r="G20" s="30"/>
      <c r="H20" s="30"/>
      <c r="I20" s="30"/>
    </row>
    <row r="21" spans="2:9">
      <c r="G21" s="30"/>
      <c r="H21" s="30"/>
      <c r="I21" s="30"/>
    </row>
    <row r="22" spans="2:9">
      <c r="G22" s="30"/>
      <c r="H22" s="30"/>
      <c r="I22" s="30"/>
    </row>
    <row r="23" spans="2:9">
      <c r="G23" s="30"/>
      <c r="H23" s="30"/>
      <c r="I23" s="30"/>
    </row>
    <row r="24" spans="2:9">
      <c r="G24" s="30"/>
      <c r="H24" s="30"/>
      <c r="I24" s="30"/>
    </row>
    <row r="25" spans="2:9">
      <c r="G25" s="30"/>
      <c r="H25" s="30"/>
      <c r="I25" s="30"/>
    </row>
    <row r="26" spans="2:9">
      <c r="G26" s="30"/>
      <c r="H26" s="30"/>
      <c r="I26" s="30"/>
    </row>
    <row r="27" spans="2:9">
      <c r="G27" s="30"/>
      <c r="H27" s="30"/>
      <c r="I27" s="30"/>
    </row>
    <row r="28" spans="2:9">
      <c r="G28" s="30"/>
      <c r="H28" s="30"/>
      <c r="I28" s="30"/>
    </row>
    <row r="29" spans="2:9">
      <c r="G29" s="30"/>
      <c r="H29" s="30"/>
      <c r="I29" s="30"/>
    </row>
    <row r="30" spans="2:9">
      <c r="G30" s="30"/>
      <c r="H30" s="30"/>
      <c r="I30" s="30"/>
    </row>
  </sheetData>
  <hyperlinks>
    <hyperlink ref="A6" r:id="rId2" tooltip="Select to give feedback" xr:uid="{1FED3B7D-9D96-4295-88E3-5C27C5CA9FF4}"/>
  </hyperlinks>
  <printOptions horizontalCentered="1"/>
  <pageMargins left="0.7" right="0.7" top="0.75" bottom="0.75" header="0.3" footer="0.3"/>
  <pageSetup scale="46" fitToHeight="0" orientation="portrait" verticalDpi="200" r:id="rId3"/>
  <headerFooter differentFirst="1">
    <oddFooter>Page &amp;P of &amp;N</oddFooter>
  </headerFooter>
  <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65F5E-3CA5-4E09-9A9B-A81FE70791D7}">
  <sheetPr>
    <pageSetUpPr fitToPage="1"/>
  </sheetPr>
  <dimension ref="A1:J31"/>
  <sheetViews>
    <sheetView showGridLines="0" showRowColHeaders="0" topLeftCell="A25" zoomScaleNormal="100" workbookViewId="0"/>
  </sheetViews>
  <sheetFormatPr defaultColWidth="9.1796875" defaultRowHeight="14.5"/>
  <cols>
    <col min="1" max="1" width="9.1796875" style="22"/>
    <col min="2" max="4" width="9.1796875" style="30"/>
    <col min="5" max="5" width="10.26953125" style="30" customWidth="1"/>
    <col min="6" max="6" width="9.1796875" style="30"/>
    <col min="7" max="7" width="14.81640625" style="30" bestFit="1" customWidth="1"/>
    <col min="8" max="9" width="14" style="30" customWidth="1"/>
    <col min="10" max="10" width="14.81640625" style="30" bestFit="1" customWidth="1"/>
    <col min="11" max="16384" width="9.1796875" style="30"/>
  </cols>
  <sheetData>
    <row r="1" spans="1:10">
      <c r="A1" s="22" t="s">
        <v>218</v>
      </c>
    </row>
    <row r="2" spans="1:10">
      <c r="A2" s="22" t="s">
        <v>217</v>
      </c>
    </row>
    <row r="3" spans="1:10">
      <c r="A3" s="22" t="s">
        <v>216</v>
      </c>
    </row>
    <row r="4" spans="1:10">
      <c r="A4" s="22" t="s">
        <v>215</v>
      </c>
    </row>
    <row r="5" spans="1:10">
      <c r="A5" s="22" t="s">
        <v>214</v>
      </c>
    </row>
    <row r="6" spans="1:10">
      <c r="A6" s="22" t="s">
        <v>213</v>
      </c>
    </row>
    <row r="7" spans="1:10">
      <c r="A7" s="22" t="s">
        <v>212</v>
      </c>
    </row>
    <row r="8" spans="1:10">
      <c r="A8" s="22" t="s">
        <v>161</v>
      </c>
    </row>
    <row r="9" spans="1:10">
      <c r="A9" s="22" t="s">
        <v>160</v>
      </c>
    </row>
    <row r="10" spans="1:10">
      <c r="H10" s="54"/>
    </row>
    <row r="11" spans="1:10">
      <c r="H11" s="54"/>
    </row>
    <row r="12" spans="1:10" ht="18.5">
      <c r="H12" s="53" t="str">
        <f>IF(AND($H$14="Buyer",$I$18=834),"Good job! You placed the fields correctly."," ")</f>
        <v xml:space="preserve"> </v>
      </c>
    </row>
    <row r="14" spans="1:10">
      <c r="B14" s="32" t="s">
        <v>159</v>
      </c>
      <c r="C14" s="32" t="s">
        <v>156</v>
      </c>
      <c r="D14" s="32" t="s">
        <v>158</v>
      </c>
      <c r="E14" s="32" t="s">
        <v>157</v>
      </c>
      <c r="H14" s="52"/>
      <c r="I14" s="51"/>
      <c r="J14" s="50"/>
    </row>
    <row r="15" spans="1:10">
      <c r="B15" s="25">
        <v>42736</v>
      </c>
      <c r="C15" s="24" t="s">
        <v>149</v>
      </c>
      <c r="D15" s="24" t="s">
        <v>154</v>
      </c>
      <c r="E15" s="23">
        <v>74</v>
      </c>
      <c r="H15" s="49"/>
      <c r="I15" s="48"/>
      <c r="J15" s="47"/>
    </row>
    <row r="16" spans="1:10">
      <c r="B16" s="28">
        <v>42750</v>
      </c>
      <c r="C16" s="27" t="s">
        <v>149</v>
      </c>
      <c r="D16" s="27" t="s">
        <v>148</v>
      </c>
      <c r="E16" s="26">
        <v>235</v>
      </c>
      <c r="H16" s="49"/>
      <c r="I16" s="48"/>
      <c r="J16" s="47"/>
    </row>
    <row r="17" spans="2:10">
      <c r="B17" s="25">
        <v>42752</v>
      </c>
      <c r="C17" s="24" t="s">
        <v>153</v>
      </c>
      <c r="D17" s="24" t="s">
        <v>152</v>
      </c>
      <c r="E17" s="23">
        <v>20</v>
      </c>
      <c r="H17" s="49"/>
      <c r="I17" s="48"/>
      <c r="J17" s="47"/>
    </row>
    <row r="18" spans="2:10">
      <c r="B18" s="28">
        <v>42756</v>
      </c>
      <c r="C18" s="27" t="s">
        <v>146</v>
      </c>
      <c r="D18" s="27" t="s">
        <v>151</v>
      </c>
      <c r="E18" s="26">
        <v>125</v>
      </c>
      <c r="H18" s="49"/>
      <c r="I18" s="48"/>
      <c r="J18" s="47"/>
    </row>
    <row r="19" spans="2:10">
      <c r="B19" s="25">
        <v>42768</v>
      </c>
      <c r="C19" s="24" t="s">
        <v>149</v>
      </c>
      <c r="D19" s="24" t="s">
        <v>148</v>
      </c>
      <c r="E19" s="23">
        <v>235</v>
      </c>
      <c r="H19" s="49"/>
      <c r="I19" s="48"/>
      <c r="J19" s="47"/>
    </row>
    <row r="20" spans="2:10">
      <c r="B20" s="28">
        <v>42786</v>
      </c>
      <c r="C20" s="27" t="s">
        <v>146</v>
      </c>
      <c r="D20" s="27" t="s">
        <v>147</v>
      </c>
      <c r="E20" s="26">
        <v>20</v>
      </c>
      <c r="H20" s="49"/>
      <c r="I20" s="48"/>
      <c r="J20" s="47"/>
    </row>
    <row r="21" spans="2:10">
      <c r="B21" s="25">
        <v>42791</v>
      </c>
      <c r="C21" s="24" t="s">
        <v>146</v>
      </c>
      <c r="D21" s="24" t="s">
        <v>145</v>
      </c>
      <c r="E21" s="23">
        <v>125</v>
      </c>
      <c r="H21" s="49"/>
      <c r="I21" s="48"/>
      <c r="J21" s="47"/>
    </row>
    <row r="22" spans="2:10">
      <c r="H22" s="49"/>
      <c r="I22" s="48"/>
      <c r="J22" s="47"/>
    </row>
    <row r="23" spans="2:10">
      <c r="H23" s="49"/>
      <c r="I23" s="48"/>
      <c r="J23" s="47"/>
    </row>
    <row r="24" spans="2:10">
      <c r="H24" s="49"/>
      <c r="I24" s="48"/>
      <c r="J24" s="47"/>
    </row>
    <row r="25" spans="2:10">
      <c r="H25" s="49"/>
      <c r="I25" s="48"/>
      <c r="J25" s="47"/>
    </row>
    <row r="26" spans="2:10">
      <c r="H26" s="49"/>
      <c r="I26" s="48"/>
      <c r="J26" s="47"/>
    </row>
    <row r="27" spans="2:10">
      <c r="H27" s="49"/>
      <c r="I27" s="48"/>
      <c r="J27" s="47"/>
    </row>
    <row r="28" spans="2:10">
      <c r="H28" s="49"/>
      <c r="I28" s="48"/>
      <c r="J28" s="47"/>
    </row>
    <row r="29" spans="2:10">
      <c r="H29" s="49"/>
      <c r="I29" s="48"/>
      <c r="J29" s="47"/>
    </row>
    <row r="30" spans="2:10">
      <c r="H30" s="49"/>
      <c r="I30" s="48"/>
      <c r="J30" s="47"/>
    </row>
    <row r="31" spans="2:10">
      <c r="H31" s="46"/>
      <c r="I31" s="45"/>
      <c r="J31" s="44"/>
    </row>
  </sheetData>
  <hyperlinks>
    <hyperlink ref="A9" r:id="rId2" tooltip="Select to give feedback" xr:uid="{321AAEC6-25FC-451A-A2D9-C4C978FA8AEA}"/>
  </hyperlinks>
  <printOptions horizontalCentered="1"/>
  <pageMargins left="0.7" right="0.7" top="0.75" bottom="0.75" header="0.3" footer="0.3"/>
  <pageSetup scale="52" fitToHeight="0" orientation="portrait" verticalDpi="200" r:id="rId3"/>
  <headerFooter differentFirst="1">
    <oddFooter>Page &amp;P of &amp;N</oddFooter>
  </headerFooter>
  <drawing r:id="rId4"/>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963A7-8982-41BB-9C16-37F43A0E9674}">
  <dimension ref="A1:A8"/>
  <sheetViews>
    <sheetView showGridLines="0" showRowColHeaders="0" topLeftCell="A19" zoomScaleNormal="100" workbookViewId="0"/>
  </sheetViews>
  <sheetFormatPr defaultColWidth="8.7265625" defaultRowHeight="14.5"/>
  <cols>
    <col min="1" max="1" width="8.7265625" style="22"/>
    <col min="2" max="4" width="8.7265625" style="17"/>
    <col min="5" max="5" width="10.26953125" style="17" customWidth="1"/>
    <col min="6" max="6" width="8.7265625" style="17"/>
    <col min="7" max="7" width="14.81640625" style="17" bestFit="1" customWidth="1"/>
    <col min="8" max="8" width="8.453125" style="17" bestFit="1" customWidth="1"/>
    <col min="9" max="9" width="14.81640625" style="17" bestFit="1" customWidth="1"/>
    <col min="10" max="16384" width="8.7265625" style="17"/>
  </cols>
  <sheetData>
    <row r="1" spans="1:1">
      <c r="A1" s="22" t="s">
        <v>224</v>
      </c>
    </row>
    <row r="2" spans="1:1">
      <c r="A2" s="22" t="s">
        <v>223</v>
      </c>
    </row>
    <row r="3" spans="1:1">
      <c r="A3" s="22" t="s">
        <v>222</v>
      </c>
    </row>
    <row r="4" spans="1:1">
      <c r="A4" s="22" t="s">
        <v>221</v>
      </c>
    </row>
    <row r="5" spans="1:1">
      <c r="A5" s="22" t="s">
        <v>220</v>
      </c>
    </row>
    <row r="6" spans="1:1">
      <c r="A6" s="22" t="s">
        <v>219</v>
      </c>
    </row>
    <row r="7" spans="1:1">
      <c r="A7" s="22" t="s">
        <v>161</v>
      </c>
    </row>
    <row r="8" spans="1:1">
      <c r="A8" s="22" t="s">
        <v>160</v>
      </c>
    </row>
  </sheetData>
  <hyperlinks>
    <hyperlink ref="A8" r:id="rId1" tooltip="Select to give feedback" xr:uid="{BCF0817E-81E0-477C-88C9-37D2E020B5C7}"/>
  </hyperlinks>
  <pageMargins left="0.7" right="0.7" top="0.75" bottom="0.75" header="0.3" footer="0.3"/>
  <pageSetup orientation="portrait" verticalDpi="1200" r:id="rId2"/>
  <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A747E-20E1-493B-AECB-3E0A53C3EFBC}">
  <dimension ref="A1:E22"/>
  <sheetViews>
    <sheetView showGridLines="0" showRowColHeaders="0" zoomScaleNormal="100" workbookViewId="0"/>
  </sheetViews>
  <sheetFormatPr defaultColWidth="9.1796875" defaultRowHeight="14.5"/>
  <cols>
    <col min="1" max="1" width="9.1796875" style="22"/>
    <col min="2" max="4" width="9.1796875" style="30"/>
    <col min="5" max="5" width="10.26953125" style="30" customWidth="1"/>
    <col min="6" max="6" width="9.1796875" style="30"/>
    <col min="7" max="7" width="14.81640625" style="30" bestFit="1" customWidth="1"/>
    <col min="8" max="8" width="9.453125" style="30" bestFit="1" customWidth="1"/>
    <col min="9" max="9" width="14.54296875" style="30" customWidth="1"/>
    <col min="10" max="16384" width="9.1796875" style="30"/>
  </cols>
  <sheetData>
    <row r="1" spans="1:5">
      <c r="A1" s="22" t="s">
        <v>230</v>
      </c>
    </row>
    <row r="2" spans="1:5">
      <c r="A2" s="22" t="s">
        <v>229</v>
      </c>
    </row>
    <row r="3" spans="1:5">
      <c r="A3" s="22" t="s">
        <v>228</v>
      </c>
    </row>
    <row r="4" spans="1:5">
      <c r="A4" s="22" t="s">
        <v>227</v>
      </c>
    </row>
    <row r="5" spans="1:5">
      <c r="A5" s="22" t="s">
        <v>226</v>
      </c>
    </row>
    <row r="6" spans="1:5">
      <c r="A6" s="22" t="s">
        <v>225</v>
      </c>
    </row>
    <row r="7" spans="1:5">
      <c r="A7" s="22" t="s">
        <v>161</v>
      </c>
    </row>
    <row r="8" spans="1:5">
      <c r="A8" s="22" t="s">
        <v>160</v>
      </c>
    </row>
    <row r="15" spans="1:5">
      <c r="B15" s="63" t="s">
        <v>159</v>
      </c>
      <c r="C15" s="62" t="s">
        <v>156</v>
      </c>
      <c r="D15" s="62" t="s">
        <v>158</v>
      </c>
      <c r="E15" s="61" t="s">
        <v>157</v>
      </c>
    </row>
    <row r="16" spans="1:5">
      <c r="B16" s="57">
        <v>42736</v>
      </c>
      <c r="C16" s="56" t="s">
        <v>149</v>
      </c>
      <c r="D16" s="56" t="s">
        <v>154</v>
      </c>
      <c r="E16" s="55">
        <v>74</v>
      </c>
    </row>
    <row r="17" spans="2:5">
      <c r="B17" s="60">
        <v>42750</v>
      </c>
      <c r="C17" s="59" t="s">
        <v>149</v>
      </c>
      <c r="D17" s="59" t="s">
        <v>148</v>
      </c>
      <c r="E17" s="58">
        <v>235</v>
      </c>
    </row>
    <row r="18" spans="2:5">
      <c r="B18" s="57">
        <v>42752</v>
      </c>
      <c r="C18" s="56" t="s">
        <v>153</v>
      </c>
      <c r="D18" s="56" t="s">
        <v>152</v>
      </c>
      <c r="E18" s="55">
        <v>20</v>
      </c>
    </row>
    <row r="19" spans="2:5">
      <c r="B19" s="60">
        <v>42756</v>
      </c>
      <c r="C19" s="59" t="s">
        <v>146</v>
      </c>
      <c r="D19" s="59" t="s">
        <v>151</v>
      </c>
      <c r="E19" s="58">
        <v>125</v>
      </c>
    </row>
    <row r="20" spans="2:5">
      <c r="B20" s="57">
        <v>42768</v>
      </c>
      <c r="C20" s="56" t="s">
        <v>149</v>
      </c>
      <c r="D20" s="56" t="s">
        <v>148</v>
      </c>
      <c r="E20" s="55">
        <v>235</v>
      </c>
    </row>
    <row r="21" spans="2:5">
      <c r="B21" s="60">
        <v>42786</v>
      </c>
      <c r="C21" s="59" t="s">
        <v>146</v>
      </c>
      <c r="D21" s="59" t="s">
        <v>147</v>
      </c>
      <c r="E21" s="58">
        <v>20</v>
      </c>
    </row>
    <row r="22" spans="2:5">
      <c r="B22" s="57">
        <v>42791</v>
      </c>
      <c r="C22" s="56" t="s">
        <v>146</v>
      </c>
      <c r="D22" s="56" t="s">
        <v>145</v>
      </c>
      <c r="E22" s="55">
        <v>125</v>
      </c>
    </row>
  </sheetData>
  <hyperlinks>
    <hyperlink ref="A8" r:id="rId1" tooltip="Select to give feedback" xr:uid="{EF9766F0-1972-4C0F-AA0C-9D2F1DA76510}"/>
  </hyperlinks>
  <pageMargins left="0.7" right="0.7" top="0.75" bottom="0.75" header="0.3" footer="0.3"/>
  <pageSetup orientation="portrait" verticalDpi="200" r:id="rId2"/>
  <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DCA2D-E108-4CA2-BE81-784C9A508550}">
  <sheetPr>
    <pageSetUpPr fitToPage="1"/>
  </sheetPr>
  <dimension ref="A1:B7"/>
  <sheetViews>
    <sheetView showGridLines="0" showRowColHeaders="0" topLeftCell="A17" zoomScaleNormal="100" workbookViewId="0"/>
  </sheetViews>
  <sheetFormatPr defaultColWidth="8.81640625" defaultRowHeight="14.5" customHeight="1"/>
  <cols>
    <col min="1" max="1" width="8.81640625" style="22"/>
    <col min="2" max="2" width="95.1796875" style="30" customWidth="1"/>
    <col min="3" max="16384" width="8.81640625" style="30"/>
  </cols>
  <sheetData>
    <row r="1" spans="1:2" ht="14.5" customHeight="1">
      <c r="A1" s="22" t="s">
        <v>236</v>
      </c>
    </row>
    <row r="2" spans="1:2" s="66" customFormat="1" ht="14.5" customHeight="1">
      <c r="A2" s="22" t="s">
        <v>235</v>
      </c>
      <c r="B2" s="30"/>
    </row>
    <row r="3" spans="1:2" s="66" customFormat="1" ht="14.5" customHeight="1">
      <c r="A3" s="22" t="s">
        <v>234</v>
      </c>
      <c r="B3" s="30"/>
    </row>
    <row r="4" spans="1:2" s="65" customFormat="1" ht="14.5" customHeight="1">
      <c r="A4" s="22" t="s">
        <v>233</v>
      </c>
      <c r="B4" s="30"/>
    </row>
    <row r="5" spans="1:2" s="64" customFormat="1" ht="14.5" customHeight="1">
      <c r="A5" s="22" t="s">
        <v>232</v>
      </c>
      <c r="B5" s="30"/>
    </row>
    <row r="6" spans="1:2" s="64" customFormat="1" ht="14.5" customHeight="1">
      <c r="A6" s="22" t="s">
        <v>231</v>
      </c>
      <c r="B6" s="30"/>
    </row>
    <row r="7" spans="1:2" ht="14.5" customHeight="1">
      <c r="A7" s="22" t="s">
        <v>160</v>
      </c>
    </row>
  </sheetData>
  <hyperlinks>
    <hyperlink ref="A3" r:id="rId1" tooltip="Select to learn more about PivotTables" xr:uid="{3A361119-3616-4823-904A-0DD1E7726FC5}"/>
    <hyperlink ref="A5" r:id="rId2" tooltip="Select to learn more about LinkedIn Learning" xr:uid="{D78EF8D2-3B65-4534-8579-54EEB8079F5A}"/>
    <hyperlink ref="A6" r:id="rId3" tooltip="Select to connect with a community" xr:uid="{5E709A60-E002-4DF2-8D4F-52D3CC3ECEB1}"/>
    <hyperlink ref="A7" r:id="rId4" tooltip="Select to give feedback" xr:uid="{7E285243-63B4-4C07-AEA9-332F3B0190E8}"/>
    <hyperlink ref="A4" r:id="rId5" tooltip="Select to learn more about Get &amp; Transform" xr:uid="{BC6C26F7-EF35-4F8E-BF8B-8B93E282D8F5}"/>
  </hyperlinks>
  <printOptions horizontalCentered="1"/>
  <pageMargins left="0.7" right="0.7" top="0.75" bottom="0.75" header="0.3" footer="0.3"/>
  <pageSetup scale="61" fitToHeight="0" orientation="portrait" r:id="rId6"/>
  <headerFooter differentFirst="1">
    <oddFooter>Page &amp;P of &amp;N</oddFooter>
  </headerFooter>
  <drawing r:id="rId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8AC44-C2CF-4310-AEE7-6D3C9F063383}">
  <dimension ref="A1"/>
  <sheetViews>
    <sheetView workbookViewId="0"/>
  </sheetViews>
  <sheetFormatPr defaultRowHeight="14.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0"/>
  <dimension ref="A1:R38"/>
  <sheetViews>
    <sheetView topLeftCell="R1" workbookViewId="0">
      <selection activeCell="S17" sqref="S17"/>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3.6328125" customWidth="1"/>
    <col min="20" max="20" width="19.08984375" customWidth="1"/>
    <col min="21" max="21" width="23" customWidth="1"/>
    <col min="22" max="22" width="22.453125" customWidth="1"/>
    <col min="23" max="23" width="23.81640625" customWidth="1"/>
    <col min="24" max="24" width="19.81640625" customWidth="1"/>
    <col min="25" max="25" width="23.54296875" customWidth="1"/>
    <col min="26" max="26" width="22.1796875" customWidth="1"/>
    <col min="27" max="27" width="25.45312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43392</v>
      </c>
      <c r="C2" t="s">
        <v>243</v>
      </c>
      <c r="D2" t="s">
        <v>252</v>
      </c>
      <c r="E2">
        <v>22</v>
      </c>
      <c r="F2">
        <v>10</v>
      </c>
      <c r="G2">
        <v>51</v>
      </c>
      <c r="H2">
        <v>31</v>
      </c>
      <c r="I2">
        <v>82</v>
      </c>
      <c r="J2">
        <v>54</v>
      </c>
      <c r="K2">
        <v>120</v>
      </c>
      <c r="L2">
        <v>88</v>
      </c>
      <c r="M2">
        <v>120</v>
      </c>
      <c r="N2">
        <v>88</v>
      </c>
    </row>
    <row r="3" spans="1:18">
      <c r="A3">
        <v>3</v>
      </c>
      <c r="B3" s="68">
        <v>43393</v>
      </c>
      <c r="C3" t="s">
        <v>243</v>
      </c>
      <c r="D3" t="s">
        <v>251</v>
      </c>
      <c r="E3">
        <v>34</v>
      </c>
      <c r="F3">
        <v>29</v>
      </c>
      <c r="G3">
        <v>72</v>
      </c>
      <c r="H3">
        <v>52</v>
      </c>
      <c r="I3">
        <v>92</v>
      </c>
      <c r="J3">
        <v>82</v>
      </c>
      <c r="K3">
        <v>113</v>
      </c>
      <c r="L3">
        <v>112</v>
      </c>
      <c r="M3">
        <v>113</v>
      </c>
      <c r="N3">
        <v>112</v>
      </c>
    </row>
    <row r="4" spans="1:18">
      <c r="A4">
        <v>4</v>
      </c>
      <c r="B4" s="68">
        <v>43395</v>
      </c>
      <c r="C4" t="s">
        <v>243</v>
      </c>
      <c r="D4" t="s">
        <v>256</v>
      </c>
      <c r="E4">
        <v>22</v>
      </c>
      <c r="F4">
        <v>31</v>
      </c>
      <c r="G4">
        <v>47</v>
      </c>
      <c r="H4">
        <v>62</v>
      </c>
      <c r="I4">
        <v>79</v>
      </c>
      <c r="J4">
        <v>97</v>
      </c>
      <c r="K4">
        <v>106</v>
      </c>
      <c r="L4">
        <v>127</v>
      </c>
      <c r="M4">
        <v>106</v>
      </c>
      <c r="N4">
        <v>127</v>
      </c>
    </row>
    <row r="5" spans="1:18">
      <c r="A5">
        <v>5</v>
      </c>
      <c r="B5" s="68">
        <v>43397</v>
      </c>
      <c r="C5" t="s">
        <v>243</v>
      </c>
      <c r="D5" t="s">
        <v>267</v>
      </c>
      <c r="E5">
        <v>27</v>
      </c>
      <c r="F5">
        <v>24</v>
      </c>
      <c r="G5">
        <v>53</v>
      </c>
      <c r="H5">
        <v>54</v>
      </c>
      <c r="I5">
        <v>82</v>
      </c>
      <c r="J5">
        <v>88</v>
      </c>
      <c r="K5">
        <v>110</v>
      </c>
      <c r="L5">
        <v>112</v>
      </c>
      <c r="M5">
        <v>110</v>
      </c>
      <c r="N5">
        <v>112</v>
      </c>
    </row>
    <row r="6" spans="1:18">
      <c r="A6">
        <v>7</v>
      </c>
      <c r="B6" s="68">
        <v>43400</v>
      </c>
      <c r="C6" t="s">
        <v>243</v>
      </c>
      <c r="D6" t="s">
        <v>239</v>
      </c>
      <c r="E6">
        <v>28</v>
      </c>
      <c r="F6">
        <v>32</v>
      </c>
      <c r="G6">
        <v>62</v>
      </c>
      <c r="H6">
        <v>63</v>
      </c>
      <c r="I6">
        <v>85</v>
      </c>
      <c r="J6">
        <v>83</v>
      </c>
      <c r="K6">
        <v>103</v>
      </c>
      <c r="L6">
        <v>105</v>
      </c>
      <c r="M6">
        <v>103</v>
      </c>
      <c r="N6">
        <v>105</v>
      </c>
    </row>
    <row r="7" spans="1:18">
      <c r="A7">
        <v>12</v>
      </c>
      <c r="B7" s="68">
        <v>43413</v>
      </c>
      <c r="C7" t="s">
        <v>243</v>
      </c>
      <c r="D7" t="s">
        <v>239</v>
      </c>
      <c r="E7">
        <v>33</v>
      </c>
      <c r="F7">
        <v>33</v>
      </c>
      <c r="G7">
        <v>50</v>
      </c>
      <c r="H7">
        <v>65</v>
      </c>
      <c r="I7">
        <v>85</v>
      </c>
      <c r="J7">
        <v>96</v>
      </c>
      <c r="K7">
        <v>119</v>
      </c>
      <c r="L7">
        <v>119</v>
      </c>
      <c r="M7">
        <v>132</v>
      </c>
      <c r="N7">
        <v>133</v>
      </c>
      <c r="O7">
        <v>132</v>
      </c>
      <c r="P7">
        <v>133</v>
      </c>
    </row>
    <row r="8" spans="1:18">
      <c r="A8">
        <v>13</v>
      </c>
      <c r="B8" s="68">
        <v>43415</v>
      </c>
      <c r="C8" t="s">
        <v>243</v>
      </c>
      <c r="D8" t="s">
        <v>248</v>
      </c>
      <c r="E8">
        <v>24</v>
      </c>
      <c r="F8">
        <v>27</v>
      </c>
      <c r="G8">
        <v>51</v>
      </c>
      <c r="H8">
        <v>49</v>
      </c>
      <c r="I8">
        <v>83</v>
      </c>
      <c r="J8">
        <v>75</v>
      </c>
      <c r="K8">
        <v>113</v>
      </c>
      <c r="L8">
        <v>103</v>
      </c>
      <c r="M8">
        <v>113</v>
      </c>
      <c r="N8">
        <v>103</v>
      </c>
    </row>
    <row r="9" spans="1:18">
      <c r="A9">
        <v>14</v>
      </c>
      <c r="B9" s="68">
        <v>43417</v>
      </c>
      <c r="C9" t="s">
        <v>243</v>
      </c>
      <c r="D9" t="s">
        <v>255</v>
      </c>
      <c r="E9">
        <v>23</v>
      </c>
      <c r="F9">
        <v>38</v>
      </c>
      <c r="G9">
        <v>51</v>
      </c>
      <c r="H9">
        <v>67</v>
      </c>
      <c r="I9">
        <v>69</v>
      </c>
      <c r="J9">
        <v>88</v>
      </c>
      <c r="K9">
        <v>89</v>
      </c>
      <c r="L9">
        <v>113</v>
      </c>
      <c r="M9">
        <v>89</v>
      </c>
      <c r="N9">
        <v>113</v>
      </c>
    </row>
    <row r="10" spans="1:18">
      <c r="A10">
        <v>18</v>
      </c>
      <c r="B10" s="68">
        <v>43427</v>
      </c>
      <c r="C10" t="s">
        <v>243</v>
      </c>
      <c r="D10" t="s">
        <v>241</v>
      </c>
      <c r="E10">
        <v>31</v>
      </c>
      <c r="F10">
        <v>33</v>
      </c>
      <c r="G10">
        <v>57</v>
      </c>
      <c r="H10">
        <v>62</v>
      </c>
      <c r="I10">
        <v>80</v>
      </c>
      <c r="J10">
        <v>89</v>
      </c>
      <c r="K10">
        <v>104</v>
      </c>
      <c r="L10">
        <v>109</v>
      </c>
      <c r="M10">
        <v>104</v>
      </c>
      <c r="N10">
        <v>109</v>
      </c>
    </row>
    <row r="11" spans="1:18">
      <c r="A11">
        <v>19</v>
      </c>
      <c r="B11" s="68">
        <v>43429</v>
      </c>
      <c r="C11" t="s">
        <v>243</v>
      </c>
      <c r="D11" t="s">
        <v>253</v>
      </c>
      <c r="E11">
        <v>43</v>
      </c>
      <c r="F11">
        <v>32</v>
      </c>
      <c r="G11">
        <v>66</v>
      </c>
      <c r="H11">
        <v>65</v>
      </c>
      <c r="I11">
        <v>97</v>
      </c>
      <c r="J11">
        <v>100</v>
      </c>
      <c r="K11">
        <v>123</v>
      </c>
      <c r="L11">
        <v>124</v>
      </c>
      <c r="M11">
        <v>123</v>
      </c>
      <c r="N11">
        <v>124</v>
      </c>
    </row>
    <row r="12" spans="1:18">
      <c r="A12">
        <v>24</v>
      </c>
      <c r="B12" s="68">
        <v>43439</v>
      </c>
      <c r="C12" t="s">
        <v>243</v>
      </c>
      <c r="D12" t="s">
        <v>259</v>
      </c>
      <c r="E12">
        <v>31</v>
      </c>
      <c r="F12">
        <v>31</v>
      </c>
      <c r="G12">
        <v>64</v>
      </c>
      <c r="H12">
        <v>62</v>
      </c>
      <c r="I12">
        <v>86</v>
      </c>
      <c r="J12">
        <v>86</v>
      </c>
      <c r="K12">
        <v>104</v>
      </c>
      <c r="L12">
        <v>121</v>
      </c>
      <c r="M12">
        <v>104</v>
      </c>
      <c r="N12">
        <v>121</v>
      </c>
    </row>
    <row r="13" spans="1:18">
      <c r="A13">
        <v>26</v>
      </c>
      <c r="B13" s="68">
        <v>43443</v>
      </c>
      <c r="C13" t="s">
        <v>243</v>
      </c>
      <c r="D13" t="s">
        <v>254</v>
      </c>
      <c r="E13">
        <v>27</v>
      </c>
      <c r="F13">
        <v>24</v>
      </c>
      <c r="G13">
        <v>61</v>
      </c>
      <c r="H13">
        <v>47</v>
      </c>
      <c r="I13">
        <v>99</v>
      </c>
      <c r="J13">
        <v>78</v>
      </c>
      <c r="K13">
        <v>119</v>
      </c>
      <c r="L13">
        <v>107</v>
      </c>
      <c r="M13">
        <v>119</v>
      </c>
      <c r="N13">
        <v>107</v>
      </c>
    </row>
    <row r="14" spans="1:18">
      <c r="A14">
        <v>32</v>
      </c>
      <c r="B14" s="68">
        <v>43457</v>
      </c>
      <c r="C14" t="s">
        <v>243</v>
      </c>
      <c r="D14" t="s">
        <v>240</v>
      </c>
      <c r="E14">
        <v>26</v>
      </c>
      <c r="F14">
        <v>29</v>
      </c>
      <c r="G14">
        <v>47</v>
      </c>
      <c r="H14">
        <v>68</v>
      </c>
      <c r="I14">
        <v>67</v>
      </c>
      <c r="J14">
        <v>94</v>
      </c>
      <c r="K14">
        <v>103</v>
      </c>
      <c r="L14">
        <v>119</v>
      </c>
      <c r="M14">
        <v>103</v>
      </c>
      <c r="N14">
        <v>119</v>
      </c>
    </row>
    <row r="15" spans="1:18">
      <c r="A15">
        <v>33</v>
      </c>
      <c r="B15" s="68">
        <v>43460</v>
      </c>
      <c r="C15" t="s">
        <v>243</v>
      </c>
      <c r="D15" t="s">
        <v>247</v>
      </c>
      <c r="E15">
        <v>29</v>
      </c>
      <c r="F15">
        <v>22</v>
      </c>
      <c r="G15">
        <v>51</v>
      </c>
      <c r="H15">
        <v>56</v>
      </c>
      <c r="I15">
        <v>77</v>
      </c>
      <c r="J15">
        <v>79</v>
      </c>
      <c r="K15">
        <v>114</v>
      </c>
      <c r="L15">
        <v>114</v>
      </c>
      <c r="M15">
        <v>132</v>
      </c>
      <c r="N15">
        <v>134</v>
      </c>
      <c r="O15">
        <v>132</v>
      </c>
      <c r="P15">
        <v>134</v>
      </c>
    </row>
    <row r="16" spans="1:18">
      <c r="A16">
        <v>35</v>
      </c>
      <c r="B16" s="68">
        <v>43463</v>
      </c>
      <c r="C16" t="s">
        <v>243</v>
      </c>
      <c r="D16" t="s">
        <v>268</v>
      </c>
      <c r="E16">
        <v>29</v>
      </c>
      <c r="F16">
        <v>27</v>
      </c>
      <c r="G16">
        <v>61</v>
      </c>
      <c r="H16">
        <v>67</v>
      </c>
      <c r="I16">
        <v>92</v>
      </c>
      <c r="J16">
        <v>94</v>
      </c>
      <c r="K16">
        <v>126</v>
      </c>
      <c r="L16">
        <v>130</v>
      </c>
      <c r="M16">
        <v>126</v>
      </c>
      <c r="N16">
        <v>130</v>
      </c>
    </row>
    <row r="17" spans="1:16">
      <c r="A17">
        <v>1</v>
      </c>
      <c r="B17" s="68">
        <v>43390</v>
      </c>
      <c r="C17" t="s">
        <v>244</v>
      </c>
      <c r="D17" t="s">
        <v>245</v>
      </c>
      <c r="E17">
        <v>23</v>
      </c>
      <c r="F17">
        <v>36</v>
      </c>
      <c r="G17">
        <v>54</v>
      </c>
      <c r="H17">
        <v>67</v>
      </c>
      <c r="I17">
        <v>83</v>
      </c>
      <c r="J17">
        <v>93</v>
      </c>
      <c r="K17">
        <v>112</v>
      </c>
      <c r="L17">
        <v>113</v>
      </c>
      <c r="M17">
        <v>112</v>
      </c>
      <c r="N17">
        <v>113</v>
      </c>
    </row>
    <row r="18" spans="1:16">
      <c r="A18">
        <v>6</v>
      </c>
      <c r="B18" s="68">
        <v>43399</v>
      </c>
      <c r="C18" t="s">
        <v>244</v>
      </c>
      <c r="D18" t="s">
        <v>267</v>
      </c>
      <c r="E18">
        <v>23</v>
      </c>
      <c r="F18">
        <v>25</v>
      </c>
      <c r="G18">
        <v>68</v>
      </c>
      <c r="H18">
        <v>54</v>
      </c>
      <c r="I18">
        <v>102</v>
      </c>
      <c r="J18">
        <v>75</v>
      </c>
      <c r="K18">
        <v>135</v>
      </c>
      <c r="L18">
        <v>106</v>
      </c>
      <c r="M18">
        <v>135</v>
      </c>
      <c r="N18">
        <v>106</v>
      </c>
    </row>
    <row r="19" spans="1:16">
      <c r="A19">
        <v>8</v>
      </c>
      <c r="B19" s="68">
        <v>43403</v>
      </c>
      <c r="C19" t="s">
        <v>244</v>
      </c>
      <c r="D19" t="s">
        <v>251</v>
      </c>
      <c r="E19">
        <v>31</v>
      </c>
      <c r="F19">
        <v>29</v>
      </c>
      <c r="G19">
        <v>65</v>
      </c>
      <c r="H19">
        <v>55</v>
      </c>
      <c r="I19">
        <v>92</v>
      </c>
      <c r="J19">
        <v>73</v>
      </c>
      <c r="K19">
        <v>125</v>
      </c>
      <c r="L19">
        <v>113</v>
      </c>
      <c r="M19">
        <v>125</v>
      </c>
      <c r="N19">
        <v>113</v>
      </c>
    </row>
    <row r="20" spans="1:16">
      <c r="A20">
        <v>9</v>
      </c>
      <c r="B20" s="68">
        <v>43405</v>
      </c>
      <c r="C20" t="s">
        <v>244</v>
      </c>
      <c r="D20" t="s">
        <v>241</v>
      </c>
      <c r="E20">
        <v>22</v>
      </c>
      <c r="F20">
        <v>24</v>
      </c>
      <c r="G20">
        <v>48</v>
      </c>
      <c r="H20">
        <v>44</v>
      </c>
      <c r="I20">
        <v>77</v>
      </c>
      <c r="J20">
        <v>73</v>
      </c>
      <c r="K20">
        <v>107</v>
      </c>
      <c r="L20">
        <v>111</v>
      </c>
      <c r="M20">
        <v>107</v>
      </c>
      <c r="N20">
        <v>111</v>
      </c>
    </row>
    <row r="21" spans="1:16">
      <c r="A21">
        <v>10</v>
      </c>
      <c r="B21" s="68">
        <v>43407</v>
      </c>
      <c r="C21" t="s">
        <v>244</v>
      </c>
      <c r="D21" t="s">
        <v>255</v>
      </c>
      <c r="E21">
        <v>30</v>
      </c>
      <c r="F21">
        <v>22</v>
      </c>
      <c r="G21">
        <v>59</v>
      </c>
      <c r="H21">
        <v>52</v>
      </c>
      <c r="I21">
        <v>93</v>
      </c>
      <c r="J21">
        <v>73</v>
      </c>
      <c r="K21">
        <v>126</v>
      </c>
      <c r="L21">
        <v>94</v>
      </c>
      <c r="M21">
        <v>126</v>
      </c>
      <c r="N21">
        <v>94</v>
      </c>
    </row>
    <row r="22" spans="1:16">
      <c r="A22">
        <v>11</v>
      </c>
      <c r="B22" s="68">
        <v>43410</v>
      </c>
      <c r="C22" t="s">
        <v>244</v>
      </c>
      <c r="D22" t="s">
        <v>253</v>
      </c>
      <c r="E22">
        <v>23</v>
      </c>
      <c r="F22">
        <v>25</v>
      </c>
      <c r="G22">
        <v>51</v>
      </c>
      <c r="H22">
        <v>54</v>
      </c>
      <c r="I22">
        <v>81</v>
      </c>
      <c r="J22">
        <v>77</v>
      </c>
      <c r="K22">
        <v>113</v>
      </c>
      <c r="L22">
        <v>102</v>
      </c>
      <c r="M22">
        <v>113</v>
      </c>
      <c r="N22">
        <v>102</v>
      </c>
    </row>
    <row r="23" spans="1:16">
      <c r="A23">
        <v>15</v>
      </c>
      <c r="B23" s="68">
        <v>43421</v>
      </c>
      <c r="C23" t="s">
        <v>244</v>
      </c>
      <c r="D23" t="s">
        <v>239</v>
      </c>
      <c r="E23">
        <v>30</v>
      </c>
      <c r="F23">
        <v>42</v>
      </c>
      <c r="G23">
        <v>56</v>
      </c>
      <c r="H23">
        <v>63</v>
      </c>
      <c r="I23">
        <v>86</v>
      </c>
      <c r="J23">
        <v>82</v>
      </c>
      <c r="K23">
        <v>110</v>
      </c>
      <c r="L23">
        <v>110</v>
      </c>
      <c r="M23">
        <v>119</v>
      </c>
      <c r="N23">
        <v>122</v>
      </c>
      <c r="O23">
        <v>119</v>
      </c>
      <c r="P23">
        <v>122</v>
      </c>
    </row>
    <row r="24" spans="1:16">
      <c r="A24">
        <v>16</v>
      </c>
      <c r="B24" s="68">
        <v>43423</v>
      </c>
      <c r="C24" t="s">
        <v>244</v>
      </c>
      <c r="D24" t="s">
        <v>240</v>
      </c>
      <c r="E24">
        <v>29</v>
      </c>
      <c r="F24">
        <v>24</v>
      </c>
      <c r="G24">
        <v>54</v>
      </c>
      <c r="H24">
        <v>56</v>
      </c>
      <c r="I24">
        <v>84</v>
      </c>
      <c r="J24">
        <v>87</v>
      </c>
      <c r="K24">
        <v>117</v>
      </c>
      <c r="L24">
        <v>112</v>
      </c>
      <c r="M24">
        <v>117</v>
      </c>
      <c r="N24">
        <v>112</v>
      </c>
    </row>
    <row r="25" spans="1:16">
      <c r="A25">
        <v>17</v>
      </c>
      <c r="B25" s="68">
        <v>43425</v>
      </c>
      <c r="C25" t="s">
        <v>244</v>
      </c>
      <c r="D25" t="s">
        <v>250</v>
      </c>
      <c r="E25">
        <v>35</v>
      </c>
      <c r="F25">
        <v>30</v>
      </c>
      <c r="G25">
        <v>68</v>
      </c>
      <c r="H25">
        <v>60</v>
      </c>
      <c r="I25">
        <v>105</v>
      </c>
      <c r="J25">
        <v>84</v>
      </c>
      <c r="K25">
        <v>127</v>
      </c>
      <c r="L25">
        <v>109</v>
      </c>
      <c r="M25">
        <v>127</v>
      </c>
      <c r="N25">
        <v>109</v>
      </c>
    </row>
    <row r="26" spans="1:16">
      <c r="A26">
        <v>20</v>
      </c>
      <c r="B26" s="68">
        <v>43430</v>
      </c>
      <c r="C26" t="s">
        <v>244</v>
      </c>
      <c r="D26" t="s">
        <v>245</v>
      </c>
      <c r="E26">
        <v>32</v>
      </c>
      <c r="F26">
        <v>35</v>
      </c>
      <c r="G26">
        <v>65</v>
      </c>
      <c r="H26">
        <v>52</v>
      </c>
      <c r="I26">
        <v>93</v>
      </c>
      <c r="J26">
        <v>80</v>
      </c>
      <c r="K26">
        <v>110</v>
      </c>
      <c r="L26">
        <v>107</v>
      </c>
      <c r="M26">
        <v>110</v>
      </c>
      <c r="N26">
        <v>107</v>
      </c>
    </row>
    <row r="27" spans="1:16">
      <c r="A27">
        <v>21</v>
      </c>
      <c r="B27" s="68">
        <v>43432</v>
      </c>
      <c r="C27" t="s">
        <v>244</v>
      </c>
      <c r="D27" t="s">
        <v>253</v>
      </c>
      <c r="E27">
        <v>24</v>
      </c>
      <c r="F27">
        <v>28</v>
      </c>
      <c r="G27">
        <v>55</v>
      </c>
      <c r="H27">
        <v>49</v>
      </c>
      <c r="I27">
        <v>86</v>
      </c>
      <c r="J27">
        <v>75</v>
      </c>
      <c r="K27">
        <v>108</v>
      </c>
      <c r="L27">
        <v>94</v>
      </c>
      <c r="M27">
        <v>108</v>
      </c>
      <c r="N27">
        <v>94</v>
      </c>
    </row>
    <row r="28" spans="1:16">
      <c r="A28">
        <v>22</v>
      </c>
      <c r="B28" s="68">
        <v>43434</v>
      </c>
      <c r="C28" t="s">
        <v>244</v>
      </c>
      <c r="D28" t="s">
        <v>261</v>
      </c>
      <c r="E28">
        <v>19</v>
      </c>
      <c r="F28">
        <v>33</v>
      </c>
      <c r="G28">
        <v>53</v>
      </c>
      <c r="H28">
        <v>57</v>
      </c>
      <c r="I28">
        <v>83</v>
      </c>
      <c r="J28">
        <v>91</v>
      </c>
      <c r="K28">
        <v>111</v>
      </c>
      <c r="L28">
        <v>119</v>
      </c>
      <c r="M28">
        <v>111</v>
      </c>
      <c r="N28">
        <v>119</v>
      </c>
    </row>
    <row r="29" spans="1:16">
      <c r="A29">
        <v>23</v>
      </c>
      <c r="B29" s="68">
        <v>43436</v>
      </c>
      <c r="C29" t="s">
        <v>244</v>
      </c>
      <c r="D29" t="s">
        <v>257</v>
      </c>
      <c r="E29">
        <v>30</v>
      </c>
      <c r="F29">
        <v>29</v>
      </c>
      <c r="G29">
        <v>56</v>
      </c>
      <c r="H29">
        <v>65</v>
      </c>
      <c r="I29">
        <v>77</v>
      </c>
      <c r="J29">
        <v>87</v>
      </c>
      <c r="K29">
        <v>109</v>
      </c>
      <c r="L29">
        <v>119</v>
      </c>
      <c r="M29">
        <v>109</v>
      </c>
      <c r="N29">
        <v>119</v>
      </c>
    </row>
    <row r="30" spans="1:16">
      <c r="A30">
        <v>25</v>
      </c>
      <c r="B30" s="68">
        <v>43441</v>
      </c>
      <c r="C30" t="s">
        <v>244</v>
      </c>
      <c r="D30" t="s">
        <v>263</v>
      </c>
      <c r="E30">
        <v>24</v>
      </c>
      <c r="F30">
        <v>25</v>
      </c>
      <c r="G30">
        <v>64</v>
      </c>
      <c r="H30">
        <v>53</v>
      </c>
      <c r="I30">
        <v>87</v>
      </c>
      <c r="J30">
        <v>79</v>
      </c>
      <c r="K30">
        <v>113</v>
      </c>
      <c r="L30">
        <v>107</v>
      </c>
      <c r="M30">
        <v>113</v>
      </c>
      <c r="N30">
        <v>107</v>
      </c>
    </row>
    <row r="31" spans="1:16">
      <c r="A31">
        <v>27</v>
      </c>
      <c r="B31" s="68">
        <v>43446</v>
      </c>
      <c r="C31" t="s">
        <v>244</v>
      </c>
      <c r="D31" t="s">
        <v>248</v>
      </c>
      <c r="E31">
        <v>37</v>
      </c>
      <c r="F31">
        <v>25</v>
      </c>
      <c r="G31">
        <v>60</v>
      </c>
      <c r="H31">
        <v>55</v>
      </c>
      <c r="I31">
        <v>82</v>
      </c>
      <c r="J31">
        <v>93</v>
      </c>
      <c r="K31">
        <v>108</v>
      </c>
      <c r="L31">
        <v>107</v>
      </c>
      <c r="M31">
        <v>108</v>
      </c>
      <c r="N31">
        <v>107</v>
      </c>
    </row>
    <row r="32" spans="1:16">
      <c r="A32">
        <v>28</v>
      </c>
      <c r="B32" s="68">
        <v>43448</v>
      </c>
      <c r="C32" t="s">
        <v>244</v>
      </c>
      <c r="D32" t="s">
        <v>254</v>
      </c>
      <c r="E32">
        <v>33</v>
      </c>
      <c r="F32">
        <v>16</v>
      </c>
      <c r="G32">
        <v>72</v>
      </c>
      <c r="H32">
        <v>53</v>
      </c>
      <c r="I32">
        <v>93</v>
      </c>
      <c r="J32">
        <v>78</v>
      </c>
      <c r="K32">
        <v>113</v>
      </c>
      <c r="L32">
        <v>113</v>
      </c>
      <c r="M32">
        <v>124</v>
      </c>
      <c r="N32">
        <v>126</v>
      </c>
      <c r="O32">
        <v>124</v>
      </c>
      <c r="P32">
        <v>126</v>
      </c>
    </row>
    <row r="33" spans="1:14">
      <c r="A33">
        <v>29</v>
      </c>
      <c r="B33" s="68">
        <v>43449</v>
      </c>
      <c r="C33" t="s">
        <v>244</v>
      </c>
      <c r="D33" t="s">
        <v>269</v>
      </c>
      <c r="E33">
        <v>22</v>
      </c>
      <c r="F33">
        <v>32</v>
      </c>
      <c r="G33">
        <v>50</v>
      </c>
      <c r="H33">
        <v>57</v>
      </c>
      <c r="I33">
        <v>67</v>
      </c>
      <c r="J33">
        <v>97</v>
      </c>
      <c r="K33">
        <v>100</v>
      </c>
      <c r="L33">
        <v>128</v>
      </c>
      <c r="M33">
        <v>100</v>
      </c>
      <c r="N33">
        <v>128</v>
      </c>
    </row>
    <row r="34" spans="1:14">
      <c r="A34">
        <v>30</v>
      </c>
      <c r="B34" s="68">
        <v>43453</v>
      </c>
      <c r="C34" t="s">
        <v>244</v>
      </c>
      <c r="D34" t="s">
        <v>255</v>
      </c>
      <c r="E34">
        <v>16</v>
      </c>
      <c r="F34">
        <v>25</v>
      </c>
      <c r="G34">
        <v>41</v>
      </c>
      <c r="H34">
        <v>46</v>
      </c>
      <c r="I34">
        <v>82</v>
      </c>
      <c r="J34">
        <v>75</v>
      </c>
      <c r="K34">
        <v>110</v>
      </c>
      <c r="L34">
        <v>99</v>
      </c>
      <c r="M34">
        <v>110</v>
      </c>
      <c r="N34">
        <v>99</v>
      </c>
    </row>
    <row r="35" spans="1:14">
      <c r="A35">
        <v>31</v>
      </c>
      <c r="B35" s="68">
        <v>43455</v>
      </c>
      <c r="C35" t="s">
        <v>244</v>
      </c>
      <c r="D35" t="s">
        <v>248</v>
      </c>
      <c r="E35">
        <v>25</v>
      </c>
      <c r="F35">
        <v>21</v>
      </c>
      <c r="G35">
        <v>45</v>
      </c>
      <c r="H35">
        <v>40</v>
      </c>
      <c r="I35">
        <v>75</v>
      </c>
      <c r="J35">
        <v>65</v>
      </c>
      <c r="K35">
        <v>98</v>
      </c>
      <c r="L35">
        <v>86</v>
      </c>
      <c r="M35">
        <v>98</v>
      </c>
      <c r="N35">
        <v>86</v>
      </c>
    </row>
    <row r="36" spans="1:14">
      <c r="A36">
        <v>34</v>
      </c>
      <c r="B36" s="68">
        <v>43462</v>
      </c>
      <c r="C36" t="s">
        <v>244</v>
      </c>
      <c r="D36" t="s">
        <v>247</v>
      </c>
      <c r="E36">
        <v>33</v>
      </c>
      <c r="F36">
        <v>17</v>
      </c>
      <c r="G36">
        <v>54</v>
      </c>
      <c r="H36">
        <v>42</v>
      </c>
      <c r="I36">
        <v>73</v>
      </c>
      <c r="J36">
        <v>65</v>
      </c>
      <c r="K36">
        <v>100</v>
      </c>
      <c r="L36">
        <v>87</v>
      </c>
      <c r="M36">
        <v>100</v>
      </c>
      <c r="N36">
        <v>87</v>
      </c>
    </row>
    <row r="37" spans="1:14">
      <c r="A37">
        <v>36</v>
      </c>
      <c r="B37" s="68">
        <v>43465</v>
      </c>
      <c r="C37" t="s">
        <v>244</v>
      </c>
      <c r="D37" t="s">
        <v>252</v>
      </c>
      <c r="E37">
        <v>36</v>
      </c>
      <c r="F37">
        <v>23</v>
      </c>
      <c r="G37">
        <v>63</v>
      </c>
      <c r="H37">
        <v>53</v>
      </c>
      <c r="I37">
        <v>95</v>
      </c>
      <c r="J37">
        <v>77</v>
      </c>
      <c r="K37">
        <v>125</v>
      </c>
      <c r="L37">
        <v>100</v>
      </c>
      <c r="M37">
        <v>125</v>
      </c>
      <c r="N37">
        <v>100</v>
      </c>
    </row>
    <row r="38" spans="1:14">
      <c r="A38">
        <v>37</v>
      </c>
      <c r="B38" s="68">
        <v>43467</v>
      </c>
      <c r="C38" t="s">
        <v>244</v>
      </c>
      <c r="D38" t="s">
        <v>265</v>
      </c>
      <c r="E38">
        <v>26</v>
      </c>
      <c r="F38">
        <v>42</v>
      </c>
      <c r="G38">
        <v>41</v>
      </c>
      <c r="H38">
        <v>65</v>
      </c>
      <c r="I38">
        <v>65</v>
      </c>
      <c r="J38">
        <v>94</v>
      </c>
      <c r="K38">
        <v>84</v>
      </c>
      <c r="L38">
        <v>122</v>
      </c>
      <c r="M38">
        <v>84</v>
      </c>
      <c r="N38">
        <v>122</v>
      </c>
    </row>
  </sheetData>
  <sortState xmlns:xlrd2="http://schemas.microsoft.com/office/spreadsheetml/2017/richdata2" ref="A2:R64">
    <sortCondition ref="C1"/>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dimension ref="A1:R39"/>
  <sheetViews>
    <sheetView topLeftCell="E1" workbookViewId="0">
      <selection activeCell="D18" sqref="D18"/>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43391</v>
      </c>
      <c r="C2" t="s">
        <v>243</v>
      </c>
      <c r="D2" t="s">
        <v>239</v>
      </c>
      <c r="E2">
        <v>41</v>
      </c>
      <c r="F2">
        <v>38</v>
      </c>
      <c r="G2">
        <v>58</v>
      </c>
      <c r="H2">
        <v>65</v>
      </c>
      <c r="I2">
        <v>76</v>
      </c>
      <c r="J2">
        <v>102</v>
      </c>
      <c r="K2">
        <v>108</v>
      </c>
      <c r="L2">
        <v>127</v>
      </c>
      <c r="M2">
        <v>108</v>
      </c>
      <c r="N2">
        <v>127</v>
      </c>
    </row>
    <row r="3" spans="1:18">
      <c r="A3">
        <v>3</v>
      </c>
      <c r="B3" s="68">
        <v>43395</v>
      </c>
      <c r="C3" t="s">
        <v>243</v>
      </c>
      <c r="D3" t="s">
        <v>265</v>
      </c>
      <c r="E3">
        <v>28</v>
      </c>
      <c r="F3">
        <v>31</v>
      </c>
      <c r="G3">
        <v>61</v>
      </c>
      <c r="H3">
        <v>59</v>
      </c>
      <c r="I3">
        <v>84</v>
      </c>
      <c r="J3">
        <v>88</v>
      </c>
      <c r="K3">
        <v>109</v>
      </c>
      <c r="L3">
        <v>115</v>
      </c>
      <c r="M3">
        <v>109</v>
      </c>
      <c r="N3">
        <v>115</v>
      </c>
    </row>
    <row r="4" spans="1:18">
      <c r="A4">
        <v>5</v>
      </c>
      <c r="B4" s="68">
        <v>43399</v>
      </c>
      <c r="C4" t="s">
        <v>243</v>
      </c>
      <c r="D4" t="s">
        <v>246</v>
      </c>
      <c r="E4">
        <v>25</v>
      </c>
      <c r="F4">
        <v>23</v>
      </c>
      <c r="G4">
        <v>54</v>
      </c>
      <c r="H4">
        <v>68</v>
      </c>
      <c r="I4">
        <v>75</v>
      </c>
      <c r="J4">
        <v>102</v>
      </c>
      <c r="K4">
        <v>106</v>
      </c>
      <c r="L4">
        <v>135</v>
      </c>
      <c r="M4">
        <v>106</v>
      </c>
      <c r="N4">
        <v>135</v>
      </c>
    </row>
    <row r="5" spans="1:18">
      <c r="A5">
        <v>6</v>
      </c>
      <c r="B5" s="68">
        <v>43400</v>
      </c>
      <c r="C5" t="s">
        <v>243</v>
      </c>
      <c r="D5" t="s">
        <v>253</v>
      </c>
      <c r="E5">
        <v>22</v>
      </c>
      <c r="F5">
        <v>25</v>
      </c>
      <c r="G5">
        <v>41</v>
      </c>
      <c r="H5">
        <v>44</v>
      </c>
      <c r="I5">
        <v>67</v>
      </c>
      <c r="J5">
        <v>63</v>
      </c>
      <c r="K5">
        <v>97</v>
      </c>
      <c r="L5">
        <v>85</v>
      </c>
      <c r="M5">
        <v>97</v>
      </c>
      <c r="N5">
        <v>85</v>
      </c>
    </row>
    <row r="6" spans="1:18">
      <c r="A6">
        <v>11</v>
      </c>
      <c r="B6" s="68">
        <v>43409</v>
      </c>
      <c r="C6" t="s">
        <v>243</v>
      </c>
      <c r="D6" t="s">
        <v>254</v>
      </c>
      <c r="E6">
        <v>24</v>
      </c>
      <c r="F6">
        <v>21</v>
      </c>
      <c r="G6">
        <v>47</v>
      </c>
      <c r="H6">
        <v>47</v>
      </c>
      <c r="I6">
        <v>78</v>
      </c>
      <c r="J6">
        <v>72</v>
      </c>
      <c r="K6">
        <v>102</v>
      </c>
      <c r="L6">
        <v>102</v>
      </c>
      <c r="M6">
        <v>116</v>
      </c>
      <c r="N6">
        <v>115</v>
      </c>
      <c r="O6">
        <v>116</v>
      </c>
      <c r="P6">
        <v>115</v>
      </c>
    </row>
    <row r="7" spans="1:18">
      <c r="A7">
        <v>12</v>
      </c>
      <c r="B7" s="68">
        <v>43411</v>
      </c>
      <c r="C7" t="s">
        <v>243</v>
      </c>
      <c r="D7" t="s">
        <v>257</v>
      </c>
      <c r="E7">
        <v>26</v>
      </c>
      <c r="F7">
        <v>29</v>
      </c>
      <c r="G7">
        <v>50</v>
      </c>
      <c r="H7">
        <v>58</v>
      </c>
      <c r="I7">
        <v>72</v>
      </c>
      <c r="J7">
        <v>85</v>
      </c>
      <c r="K7">
        <v>98</v>
      </c>
      <c r="L7">
        <v>107</v>
      </c>
      <c r="M7">
        <v>98</v>
      </c>
      <c r="N7">
        <v>107</v>
      </c>
    </row>
    <row r="8" spans="1:18">
      <c r="A8">
        <v>15</v>
      </c>
      <c r="B8" s="68">
        <v>43418</v>
      </c>
      <c r="C8" t="s">
        <v>243</v>
      </c>
      <c r="D8" t="s">
        <v>240</v>
      </c>
      <c r="E8">
        <v>24</v>
      </c>
      <c r="F8">
        <v>19</v>
      </c>
      <c r="G8">
        <v>35</v>
      </c>
      <c r="H8">
        <v>51</v>
      </c>
      <c r="I8">
        <v>59</v>
      </c>
      <c r="J8">
        <v>77</v>
      </c>
      <c r="K8">
        <v>82</v>
      </c>
      <c r="L8">
        <v>111</v>
      </c>
      <c r="M8">
        <v>82</v>
      </c>
      <c r="N8">
        <v>111</v>
      </c>
    </row>
    <row r="9" spans="1:18">
      <c r="A9">
        <v>16</v>
      </c>
      <c r="B9" s="68">
        <v>43420</v>
      </c>
      <c r="C9" t="s">
        <v>243</v>
      </c>
      <c r="D9" t="s">
        <v>245</v>
      </c>
      <c r="E9">
        <v>40</v>
      </c>
      <c r="F9">
        <v>27</v>
      </c>
      <c r="G9">
        <v>63</v>
      </c>
      <c r="H9">
        <v>45</v>
      </c>
      <c r="I9">
        <v>80</v>
      </c>
      <c r="J9">
        <v>91</v>
      </c>
      <c r="K9">
        <v>104</v>
      </c>
      <c r="L9">
        <v>123</v>
      </c>
      <c r="M9">
        <v>104</v>
      </c>
      <c r="N9">
        <v>123</v>
      </c>
    </row>
    <row r="10" spans="1:18">
      <c r="A10">
        <v>20</v>
      </c>
      <c r="B10" s="68">
        <v>43428</v>
      </c>
      <c r="C10" t="s">
        <v>243</v>
      </c>
      <c r="D10" t="s">
        <v>259</v>
      </c>
      <c r="E10">
        <v>22</v>
      </c>
      <c r="F10">
        <v>20</v>
      </c>
      <c r="G10">
        <v>50</v>
      </c>
      <c r="H10">
        <v>49</v>
      </c>
      <c r="I10">
        <v>79</v>
      </c>
      <c r="J10">
        <v>84</v>
      </c>
      <c r="K10">
        <v>96</v>
      </c>
      <c r="L10">
        <v>111</v>
      </c>
      <c r="M10">
        <v>96</v>
      </c>
      <c r="N10">
        <v>111</v>
      </c>
    </row>
    <row r="11" spans="1:18">
      <c r="A11">
        <v>22</v>
      </c>
      <c r="B11" s="68">
        <v>43432</v>
      </c>
      <c r="C11" t="s">
        <v>243</v>
      </c>
      <c r="D11" t="s">
        <v>245</v>
      </c>
      <c r="E11">
        <v>40</v>
      </c>
      <c r="F11">
        <v>30</v>
      </c>
      <c r="G11">
        <v>62</v>
      </c>
      <c r="H11">
        <v>63</v>
      </c>
      <c r="I11">
        <v>89</v>
      </c>
      <c r="J11">
        <v>92</v>
      </c>
      <c r="K11">
        <v>113</v>
      </c>
      <c r="L11">
        <v>116</v>
      </c>
      <c r="M11">
        <v>113</v>
      </c>
      <c r="N11">
        <v>116</v>
      </c>
    </row>
    <row r="12" spans="1:18">
      <c r="A12">
        <v>23</v>
      </c>
      <c r="B12" s="68">
        <v>43434</v>
      </c>
      <c r="C12" t="s">
        <v>243</v>
      </c>
      <c r="D12" t="s">
        <v>248</v>
      </c>
      <c r="E12">
        <v>21</v>
      </c>
      <c r="F12">
        <v>34</v>
      </c>
      <c r="G12">
        <v>40</v>
      </c>
      <c r="H12">
        <v>55</v>
      </c>
      <c r="I12">
        <v>65</v>
      </c>
      <c r="J12">
        <v>79</v>
      </c>
      <c r="K12">
        <v>88</v>
      </c>
      <c r="L12">
        <v>107</v>
      </c>
      <c r="M12">
        <v>88</v>
      </c>
      <c r="N12">
        <v>107</v>
      </c>
    </row>
    <row r="13" spans="1:18">
      <c r="A13">
        <v>24</v>
      </c>
      <c r="B13" s="68">
        <v>43435</v>
      </c>
      <c r="C13" t="s">
        <v>243</v>
      </c>
      <c r="D13" t="s">
        <v>258</v>
      </c>
      <c r="E13">
        <v>22</v>
      </c>
      <c r="F13">
        <v>38</v>
      </c>
      <c r="G13">
        <v>46</v>
      </c>
      <c r="H13">
        <v>56</v>
      </c>
      <c r="I13">
        <v>75</v>
      </c>
      <c r="J13">
        <v>87</v>
      </c>
      <c r="K13">
        <v>105</v>
      </c>
      <c r="L13">
        <v>121</v>
      </c>
      <c r="M13">
        <v>105</v>
      </c>
      <c r="N13">
        <v>121</v>
      </c>
    </row>
    <row r="14" spans="1:18">
      <c r="A14">
        <v>25</v>
      </c>
      <c r="B14" s="68">
        <v>43438</v>
      </c>
      <c r="C14" t="s">
        <v>243</v>
      </c>
      <c r="D14" t="s">
        <v>250</v>
      </c>
      <c r="E14">
        <v>21</v>
      </c>
      <c r="F14">
        <v>23</v>
      </c>
      <c r="G14">
        <v>45</v>
      </c>
      <c r="H14">
        <v>43</v>
      </c>
      <c r="I14">
        <v>67</v>
      </c>
      <c r="J14">
        <v>70</v>
      </c>
      <c r="K14">
        <v>90</v>
      </c>
      <c r="L14">
        <v>96</v>
      </c>
      <c r="M14">
        <v>90</v>
      </c>
      <c r="N14">
        <v>96</v>
      </c>
    </row>
    <row r="15" spans="1:18">
      <c r="A15">
        <v>29</v>
      </c>
      <c r="B15" s="68">
        <v>43447</v>
      </c>
      <c r="C15" t="s">
        <v>243</v>
      </c>
      <c r="D15" t="s">
        <v>252</v>
      </c>
      <c r="E15">
        <v>26</v>
      </c>
      <c r="F15">
        <v>24</v>
      </c>
      <c r="G15">
        <v>46</v>
      </c>
      <c r="H15">
        <v>51</v>
      </c>
      <c r="I15">
        <v>71</v>
      </c>
      <c r="J15">
        <v>77</v>
      </c>
      <c r="K15">
        <v>91</v>
      </c>
      <c r="L15">
        <v>97</v>
      </c>
      <c r="M15">
        <v>91</v>
      </c>
      <c r="N15">
        <v>97</v>
      </c>
    </row>
    <row r="16" spans="1:18">
      <c r="A16">
        <v>30</v>
      </c>
      <c r="B16" s="68">
        <v>43449</v>
      </c>
      <c r="C16" t="s">
        <v>243</v>
      </c>
      <c r="D16" t="s">
        <v>260</v>
      </c>
      <c r="E16">
        <v>21</v>
      </c>
      <c r="F16">
        <v>28</v>
      </c>
      <c r="G16">
        <v>43</v>
      </c>
      <c r="H16">
        <v>62</v>
      </c>
      <c r="I16">
        <v>74</v>
      </c>
      <c r="J16">
        <v>78</v>
      </c>
      <c r="K16">
        <v>98</v>
      </c>
      <c r="L16">
        <v>93</v>
      </c>
      <c r="M16">
        <v>98</v>
      </c>
      <c r="N16">
        <v>93</v>
      </c>
    </row>
    <row r="17" spans="1:16">
      <c r="A17">
        <v>31</v>
      </c>
      <c r="B17" s="68">
        <v>43451</v>
      </c>
      <c r="C17" t="s">
        <v>243</v>
      </c>
      <c r="D17" t="s">
        <v>241</v>
      </c>
      <c r="E17">
        <v>22</v>
      </c>
      <c r="F17">
        <v>31</v>
      </c>
      <c r="G17">
        <v>44</v>
      </c>
      <c r="H17">
        <v>64</v>
      </c>
      <c r="I17">
        <v>69</v>
      </c>
      <c r="J17">
        <v>88</v>
      </c>
      <c r="K17">
        <v>96</v>
      </c>
      <c r="L17">
        <v>121</v>
      </c>
      <c r="M17">
        <v>96</v>
      </c>
      <c r="N17">
        <v>121</v>
      </c>
    </row>
    <row r="18" spans="1:16">
      <c r="A18">
        <v>34</v>
      </c>
      <c r="B18" s="68">
        <v>43457</v>
      </c>
      <c r="C18" t="s">
        <v>243</v>
      </c>
      <c r="D18" t="s">
        <v>255</v>
      </c>
      <c r="E18">
        <v>28</v>
      </c>
      <c r="F18">
        <v>29</v>
      </c>
      <c r="G18">
        <v>54</v>
      </c>
      <c r="H18">
        <v>59</v>
      </c>
      <c r="I18">
        <v>84</v>
      </c>
      <c r="J18">
        <v>74</v>
      </c>
      <c r="K18">
        <v>112</v>
      </c>
      <c r="L18">
        <v>92</v>
      </c>
      <c r="M18">
        <v>112</v>
      </c>
      <c r="N18">
        <v>92</v>
      </c>
    </row>
    <row r="19" spans="1:16">
      <c r="A19">
        <v>36</v>
      </c>
      <c r="B19" s="68">
        <v>43462</v>
      </c>
      <c r="C19" t="s">
        <v>243</v>
      </c>
      <c r="D19" t="s">
        <v>268</v>
      </c>
      <c r="E19">
        <v>20</v>
      </c>
      <c r="F19">
        <v>22</v>
      </c>
      <c r="G19">
        <v>40</v>
      </c>
      <c r="H19">
        <v>42</v>
      </c>
      <c r="I19">
        <v>74</v>
      </c>
      <c r="J19">
        <v>72</v>
      </c>
      <c r="K19">
        <v>101</v>
      </c>
      <c r="L19">
        <v>92</v>
      </c>
      <c r="M19">
        <v>101</v>
      </c>
      <c r="N19">
        <v>92</v>
      </c>
    </row>
    <row r="20" spans="1:16">
      <c r="A20">
        <v>37</v>
      </c>
      <c r="B20" s="68">
        <v>43464</v>
      </c>
      <c r="C20" t="s">
        <v>243</v>
      </c>
      <c r="D20" t="s">
        <v>256</v>
      </c>
      <c r="E20">
        <v>20</v>
      </c>
      <c r="F20">
        <v>14</v>
      </c>
      <c r="G20">
        <v>39</v>
      </c>
      <c r="H20">
        <v>40</v>
      </c>
      <c r="I20">
        <v>65</v>
      </c>
      <c r="J20">
        <v>68</v>
      </c>
      <c r="K20">
        <v>89</v>
      </c>
      <c r="L20">
        <v>95</v>
      </c>
      <c r="M20">
        <v>89</v>
      </c>
      <c r="N20">
        <v>95</v>
      </c>
    </row>
    <row r="21" spans="1:16">
      <c r="A21">
        <v>2</v>
      </c>
      <c r="B21" s="68">
        <v>43393</v>
      </c>
      <c r="C21" t="s">
        <v>244</v>
      </c>
      <c r="D21" t="s">
        <v>248</v>
      </c>
      <c r="E21">
        <v>27</v>
      </c>
      <c r="F21">
        <v>25</v>
      </c>
      <c r="G21">
        <v>58</v>
      </c>
      <c r="H21">
        <v>60</v>
      </c>
      <c r="I21">
        <v>84</v>
      </c>
      <c r="J21">
        <v>85</v>
      </c>
      <c r="K21">
        <v>116</v>
      </c>
      <c r="L21">
        <v>118</v>
      </c>
      <c r="M21">
        <v>116</v>
      </c>
      <c r="N21">
        <v>118</v>
      </c>
    </row>
    <row r="22" spans="1:16">
      <c r="A22">
        <v>4</v>
      </c>
      <c r="B22" s="68">
        <v>43397</v>
      </c>
      <c r="C22" t="s">
        <v>244</v>
      </c>
      <c r="D22" t="s">
        <v>246</v>
      </c>
      <c r="E22">
        <v>24</v>
      </c>
      <c r="F22">
        <v>27</v>
      </c>
      <c r="G22">
        <v>54</v>
      </c>
      <c r="H22">
        <v>53</v>
      </c>
      <c r="I22">
        <v>88</v>
      </c>
      <c r="J22">
        <v>82</v>
      </c>
      <c r="K22">
        <v>112</v>
      </c>
      <c r="L22">
        <v>110</v>
      </c>
      <c r="M22">
        <v>112</v>
      </c>
      <c r="N22">
        <v>110</v>
      </c>
    </row>
    <row r="23" spans="1:16">
      <c r="A23">
        <v>7</v>
      </c>
      <c r="B23" s="68">
        <v>43402</v>
      </c>
      <c r="C23" t="s">
        <v>244</v>
      </c>
      <c r="D23" t="s">
        <v>242</v>
      </c>
      <c r="E23">
        <v>28</v>
      </c>
      <c r="F23">
        <v>44</v>
      </c>
      <c r="G23">
        <v>50</v>
      </c>
      <c r="H23">
        <v>92</v>
      </c>
      <c r="I23">
        <v>89</v>
      </c>
      <c r="J23">
        <v>125</v>
      </c>
      <c r="K23">
        <v>124</v>
      </c>
      <c r="L23">
        <v>149</v>
      </c>
      <c r="M23">
        <v>124</v>
      </c>
      <c r="N23">
        <v>149</v>
      </c>
    </row>
    <row r="24" spans="1:16">
      <c r="A24">
        <v>8</v>
      </c>
      <c r="B24" s="68">
        <v>43404</v>
      </c>
      <c r="C24" t="s">
        <v>244</v>
      </c>
      <c r="D24" t="s">
        <v>263</v>
      </c>
      <c r="E24">
        <v>24</v>
      </c>
      <c r="F24">
        <v>28</v>
      </c>
      <c r="G24">
        <v>48</v>
      </c>
      <c r="H24">
        <v>51</v>
      </c>
      <c r="I24">
        <v>78</v>
      </c>
      <c r="J24">
        <v>80</v>
      </c>
      <c r="K24">
        <v>98</v>
      </c>
      <c r="L24">
        <v>98</v>
      </c>
      <c r="M24">
        <v>107</v>
      </c>
      <c r="N24">
        <v>108</v>
      </c>
      <c r="O24">
        <v>107</v>
      </c>
      <c r="P24">
        <v>108</v>
      </c>
    </row>
    <row r="25" spans="1:16">
      <c r="A25">
        <v>9</v>
      </c>
      <c r="B25" s="68">
        <v>43406</v>
      </c>
      <c r="C25" t="s">
        <v>244</v>
      </c>
      <c r="D25" t="s">
        <v>250</v>
      </c>
      <c r="E25">
        <v>37</v>
      </c>
      <c r="F25">
        <v>22</v>
      </c>
      <c r="G25">
        <v>58</v>
      </c>
      <c r="H25">
        <v>60</v>
      </c>
      <c r="I25">
        <v>80</v>
      </c>
      <c r="J25">
        <v>87</v>
      </c>
      <c r="K25">
        <v>105</v>
      </c>
      <c r="L25">
        <v>107</v>
      </c>
      <c r="M25">
        <v>105</v>
      </c>
      <c r="N25">
        <v>107</v>
      </c>
    </row>
    <row r="26" spans="1:16">
      <c r="A26">
        <v>10</v>
      </c>
      <c r="B26" s="68">
        <v>43407</v>
      </c>
      <c r="C26" t="s">
        <v>244</v>
      </c>
      <c r="D26" t="s">
        <v>258</v>
      </c>
      <c r="E26">
        <v>28</v>
      </c>
      <c r="F26">
        <v>27</v>
      </c>
      <c r="G26">
        <v>56</v>
      </c>
      <c r="H26">
        <v>54</v>
      </c>
      <c r="I26">
        <v>63</v>
      </c>
      <c r="J26">
        <v>75</v>
      </c>
      <c r="K26">
        <v>88</v>
      </c>
      <c r="L26">
        <v>96</v>
      </c>
      <c r="M26">
        <v>88</v>
      </c>
      <c r="N26">
        <v>96</v>
      </c>
    </row>
    <row r="27" spans="1:16">
      <c r="A27">
        <v>13</v>
      </c>
      <c r="B27" s="68">
        <v>43414</v>
      </c>
      <c r="C27" t="s">
        <v>244</v>
      </c>
      <c r="D27" t="s">
        <v>255</v>
      </c>
      <c r="E27">
        <v>37</v>
      </c>
      <c r="F27">
        <v>23</v>
      </c>
      <c r="G27">
        <v>53</v>
      </c>
      <c r="H27">
        <v>53</v>
      </c>
      <c r="I27">
        <v>79</v>
      </c>
      <c r="J27">
        <v>77</v>
      </c>
      <c r="K27">
        <v>99</v>
      </c>
      <c r="L27">
        <v>98</v>
      </c>
      <c r="M27">
        <v>99</v>
      </c>
      <c r="N27">
        <v>98</v>
      </c>
    </row>
    <row r="28" spans="1:16">
      <c r="A28">
        <v>14</v>
      </c>
      <c r="B28" s="68">
        <v>43416</v>
      </c>
      <c r="C28" t="s">
        <v>244</v>
      </c>
      <c r="D28" t="s">
        <v>265</v>
      </c>
      <c r="E28">
        <v>20</v>
      </c>
      <c r="F28">
        <v>25</v>
      </c>
      <c r="G28">
        <v>49</v>
      </c>
      <c r="H28">
        <v>56</v>
      </c>
      <c r="I28">
        <v>75</v>
      </c>
      <c r="J28">
        <v>78</v>
      </c>
      <c r="K28">
        <v>98</v>
      </c>
      <c r="L28">
        <v>103</v>
      </c>
      <c r="M28">
        <v>98</v>
      </c>
      <c r="N28">
        <v>103</v>
      </c>
    </row>
    <row r="29" spans="1:16">
      <c r="A29">
        <v>17</v>
      </c>
      <c r="B29" s="68">
        <v>43421</v>
      </c>
      <c r="C29" t="s">
        <v>244</v>
      </c>
      <c r="D29" t="s">
        <v>256</v>
      </c>
      <c r="E29">
        <v>18</v>
      </c>
      <c r="F29">
        <v>27</v>
      </c>
      <c r="G29">
        <v>44</v>
      </c>
      <c r="H29">
        <v>57</v>
      </c>
      <c r="I29">
        <v>56</v>
      </c>
      <c r="J29">
        <v>89</v>
      </c>
      <c r="K29">
        <v>83</v>
      </c>
      <c r="L29">
        <v>122</v>
      </c>
      <c r="M29">
        <v>83</v>
      </c>
      <c r="N29">
        <v>122</v>
      </c>
    </row>
    <row r="30" spans="1:16">
      <c r="A30">
        <v>18</v>
      </c>
      <c r="B30" s="68">
        <v>43425</v>
      </c>
      <c r="C30" t="s">
        <v>244</v>
      </c>
      <c r="D30" t="s">
        <v>266</v>
      </c>
      <c r="E30">
        <v>25</v>
      </c>
      <c r="F30">
        <v>28</v>
      </c>
      <c r="G30">
        <v>64</v>
      </c>
      <c r="H30">
        <v>69</v>
      </c>
      <c r="I30">
        <v>94</v>
      </c>
      <c r="J30">
        <v>93</v>
      </c>
      <c r="K30">
        <v>124</v>
      </c>
      <c r="L30">
        <v>116</v>
      </c>
      <c r="M30">
        <v>124</v>
      </c>
      <c r="N30">
        <v>116</v>
      </c>
    </row>
    <row r="31" spans="1:16">
      <c r="A31">
        <v>19</v>
      </c>
      <c r="B31" s="68">
        <v>43427</v>
      </c>
      <c r="C31" t="s">
        <v>244</v>
      </c>
      <c r="D31" t="s">
        <v>251</v>
      </c>
      <c r="E31">
        <v>26</v>
      </c>
      <c r="F31">
        <v>28</v>
      </c>
      <c r="G31">
        <v>39</v>
      </c>
      <c r="H31">
        <v>60</v>
      </c>
      <c r="I31">
        <v>69</v>
      </c>
      <c r="J31">
        <v>78</v>
      </c>
      <c r="K31">
        <v>96</v>
      </c>
      <c r="L31">
        <v>103</v>
      </c>
      <c r="M31">
        <v>96</v>
      </c>
      <c r="N31">
        <v>103</v>
      </c>
    </row>
    <row r="32" spans="1:16">
      <c r="A32">
        <v>21</v>
      </c>
      <c r="B32" s="68">
        <v>43430</v>
      </c>
      <c r="C32" t="s">
        <v>244</v>
      </c>
      <c r="D32" t="s">
        <v>260</v>
      </c>
      <c r="E32">
        <v>27</v>
      </c>
      <c r="F32">
        <v>27</v>
      </c>
      <c r="G32">
        <v>50</v>
      </c>
      <c r="H32">
        <v>52</v>
      </c>
      <c r="I32">
        <v>83</v>
      </c>
      <c r="J32">
        <v>80</v>
      </c>
      <c r="K32">
        <v>107</v>
      </c>
      <c r="L32">
        <v>108</v>
      </c>
      <c r="M32">
        <v>107</v>
      </c>
      <c r="N32">
        <v>108</v>
      </c>
    </row>
    <row r="33" spans="1:14">
      <c r="A33">
        <v>26</v>
      </c>
      <c r="B33" s="68">
        <v>43441</v>
      </c>
      <c r="C33" t="s">
        <v>244</v>
      </c>
      <c r="D33" t="s">
        <v>241</v>
      </c>
      <c r="E33">
        <v>34</v>
      </c>
      <c r="F33">
        <v>28</v>
      </c>
      <c r="G33">
        <v>70</v>
      </c>
      <c r="H33">
        <v>62</v>
      </c>
      <c r="I33">
        <v>87</v>
      </c>
      <c r="J33">
        <v>91</v>
      </c>
      <c r="K33">
        <v>114</v>
      </c>
      <c r="L33">
        <v>112</v>
      </c>
      <c r="M33">
        <v>114</v>
      </c>
      <c r="N33">
        <v>112</v>
      </c>
    </row>
    <row r="34" spans="1:14">
      <c r="A34">
        <v>27</v>
      </c>
      <c r="B34" s="68">
        <v>43442</v>
      </c>
      <c r="C34" t="s">
        <v>244</v>
      </c>
      <c r="D34" t="s">
        <v>240</v>
      </c>
      <c r="E34">
        <v>17</v>
      </c>
      <c r="F34">
        <v>35</v>
      </c>
      <c r="G34">
        <v>43</v>
      </c>
      <c r="H34">
        <v>64</v>
      </c>
      <c r="I34">
        <v>60</v>
      </c>
      <c r="J34">
        <v>93</v>
      </c>
      <c r="K34">
        <v>77</v>
      </c>
      <c r="L34">
        <v>133</v>
      </c>
      <c r="M34">
        <v>77</v>
      </c>
      <c r="N34">
        <v>133</v>
      </c>
    </row>
    <row r="35" spans="1:14">
      <c r="A35">
        <v>28</v>
      </c>
      <c r="B35" s="68">
        <v>43444</v>
      </c>
      <c r="C35" t="s">
        <v>244</v>
      </c>
      <c r="D35" t="s">
        <v>262</v>
      </c>
      <c r="E35">
        <v>33</v>
      </c>
      <c r="F35">
        <v>26</v>
      </c>
      <c r="G35">
        <v>56</v>
      </c>
      <c r="H35">
        <v>45</v>
      </c>
      <c r="I35">
        <v>74</v>
      </c>
      <c r="J35">
        <v>81</v>
      </c>
      <c r="K35">
        <v>89</v>
      </c>
      <c r="L35">
        <v>108</v>
      </c>
      <c r="M35">
        <v>89</v>
      </c>
      <c r="N35">
        <v>108</v>
      </c>
    </row>
    <row r="36" spans="1:14">
      <c r="A36">
        <v>32</v>
      </c>
      <c r="B36" s="68">
        <v>43453</v>
      </c>
      <c r="C36" t="s">
        <v>244</v>
      </c>
      <c r="D36" t="s">
        <v>247</v>
      </c>
      <c r="E36">
        <v>27</v>
      </c>
      <c r="F36">
        <v>22</v>
      </c>
      <c r="G36">
        <v>39</v>
      </c>
      <c r="H36">
        <v>40</v>
      </c>
      <c r="I36">
        <v>71</v>
      </c>
      <c r="J36">
        <v>71</v>
      </c>
      <c r="K36">
        <v>93</v>
      </c>
      <c r="L36">
        <v>96</v>
      </c>
      <c r="M36">
        <v>93</v>
      </c>
      <c r="N36">
        <v>96</v>
      </c>
    </row>
    <row r="37" spans="1:14">
      <c r="A37">
        <v>33</v>
      </c>
      <c r="B37" s="68">
        <v>43455</v>
      </c>
      <c r="C37" t="s">
        <v>244</v>
      </c>
      <c r="D37" t="s">
        <v>252</v>
      </c>
      <c r="E37">
        <v>19</v>
      </c>
      <c r="F37">
        <v>20</v>
      </c>
      <c r="G37">
        <v>46</v>
      </c>
      <c r="H37">
        <v>39</v>
      </c>
      <c r="I37">
        <v>73</v>
      </c>
      <c r="J37">
        <v>63</v>
      </c>
      <c r="K37">
        <v>90</v>
      </c>
      <c r="L37">
        <v>80</v>
      </c>
      <c r="M37">
        <v>90</v>
      </c>
      <c r="N37">
        <v>80</v>
      </c>
    </row>
    <row r="38" spans="1:14">
      <c r="A38">
        <v>35</v>
      </c>
      <c r="B38" s="68">
        <v>43460</v>
      </c>
      <c r="C38" t="s">
        <v>244</v>
      </c>
      <c r="D38" t="s">
        <v>259</v>
      </c>
      <c r="E38">
        <v>18</v>
      </c>
      <c r="F38">
        <v>29</v>
      </c>
      <c r="G38">
        <v>37</v>
      </c>
      <c r="H38">
        <v>60</v>
      </c>
      <c r="I38">
        <v>65</v>
      </c>
      <c r="J38">
        <v>83</v>
      </c>
      <c r="K38">
        <v>94</v>
      </c>
      <c r="L38">
        <v>119</v>
      </c>
      <c r="M38">
        <v>94</v>
      </c>
      <c r="N38">
        <v>119</v>
      </c>
    </row>
    <row r="39" spans="1:14">
      <c r="A39">
        <v>38</v>
      </c>
      <c r="B39" s="68">
        <v>43467</v>
      </c>
      <c r="C39" t="s">
        <v>244</v>
      </c>
      <c r="D39" t="s">
        <v>252</v>
      </c>
      <c r="E39">
        <v>16</v>
      </c>
      <c r="F39">
        <v>32</v>
      </c>
      <c r="G39">
        <v>45</v>
      </c>
      <c r="H39">
        <v>62</v>
      </c>
      <c r="I39">
        <v>62</v>
      </c>
      <c r="J39">
        <v>90</v>
      </c>
      <c r="K39">
        <v>84</v>
      </c>
      <c r="L39">
        <v>112</v>
      </c>
      <c r="M39">
        <v>84</v>
      </c>
      <c r="N39">
        <v>112</v>
      </c>
    </row>
  </sheetData>
  <sortState xmlns:xlrd2="http://schemas.microsoft.com/office/spreadsheetml/2017/richdata2" ref="A2:R66">
    <sortCondition ref="C1"/>
  </sortState>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dimension ref="A1:AA37"/>
  <sheetViews>
    <sheetView tabSelected="1" topLeftCell="W1" workbookViewId="0">
      <selection activeCell="AA2" sqref="AA2"/>
    </sheetView>
  </sheetViews>
  <sheetFormatPr defaultRowHeight="14.5"/>
  <cols>
    <col min="1" max="1" width="2.6328125" bestFit="1" customWidth="1"/>
    <col min="2" max="2" width="12.90625"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 customWidth="1"/>
    <col min="20" max="20" width="19.54296875" customWidth="1"/>
    <col min="21" max="21" width="23.26953125" customWidth="1"/>
    <col min="22" max="22" width="19.1796875" customWidth="1"/>
    <col min="23" max="23" width="23.54296875" customWidth="1"/>
    <col min="24" max="24" width="19.453125" customWidth="1"/>
    <col min="25" max="25" width="23.36328125" customWidth="1"/>
    <col min="26" max="26" width="22.08984375" customWidth="1"/>
    <col min="27" max="27" width="26.08984375" customWidth="1"/>
  </cols>
  <sheetData>
    <row r="1" spans="1:27">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c r="S1" t="s">
        <v>273</v>
      </c>
      <c r="T1" t="s">
        <v>274</v>
      </c>
      <c r="U1" t="s">
        <v>276</v>
      </c>
      <c r="V1" t="s">
        <v>274</v>
      </c>
      <c r="W1" t="s">
        <v>276</v>
      </c>
      <c r="X1" t="s">
        <v>278</v>
      </c>
      <c r="Y1" t="s">
        <v>279</v>
      </c>
      <c r="Z1" t="s">
        <v>280</v>
      </c>
      <c r="AA1" t="s">
        <v>280</v>
      </c>
    </row>
    <row r="2" spans="1:27">
      <c r="A2">
        <v>1</v>
      </c>
      <c r="B2" s="68">
        <v>43390</v>
      </c>
      <c r="C2" t="s">
        <v>243</v>
      </c>
      <c r="D2" t="s">
        <v>264</v>
      </c>
      <c r="E2">
        <v>29</v>
      </c>
      <c r="F2">
        <v>24</v>
      </c>
      <c r="G2">
        <v>59</v>
      </c>
      <c r="H2">
        <v>54</v>
      </c>
      <c r="I2">
        <v>74</v>
      </c>
      <c r="J2">
        <v>72</v>
      </c>
      <c r="K2">
        <v>107</v>
      </c>
      <c r="L2">
        <v>98</v>
      </c>
      <c r="M2">
        <v>107</v>
      </c>
      <c r="N2">
        <v>98</v>
      </c>
      <c r="T2" t="s">
        <v>292</v>
      </c>
      <c r="X2">
        <f>AVERAGE(M20:M37)</f>
        <v>112.27777777777777</v>
      </c>
      <c r="Y2">
        <f>AVERAGE(N20:N37)</f>
        <v>101.22222222222223</v>
      </c>
      <c r="Z2">
        <f>AVERAGE(G20:G37)</f>
        <v>57.166666666666664</v>
      </c>
      <c r="AA2">
        <f>AVERAGE(H20:H37)</f>
        <v>52.277777777777779</v>
      </c>
    </row>
    <row r="3" spans="1:27">
      <c r="A3">
        <v>5</v>
      </c>
      <c r="B3" s="68">
        <v>43398</v>
      </c>
      <c r="C3" t="s">
        <v>243</v>
      </c>
      <c r="D3" t="s">
        <v>269</v>
      </c>
      <c r="E3">
        <v>26</v>
      </c>
      <c r="F3">
        <v>22</v>
      </c>
      <c r="G3">
        <v>57</v>
      </c>
      <c r="H3">
        <v>58</v>
      </c>
      <c r="I3">
        <v>89</v>
      </c>
      <c r="J3">
        <v>87</v>
      </c>
      <c r="K3">
        <v>114</v>
      </c>
      <c r="L3">
        <v>121</v>
      </c>
      <c r="M3">
        <v>114</v>
      </c>
      <c r="N3">
        <v>121</v>
      </c>
    </row>
    <row r="4" spans="1:27">
      <c r="A4">
        <v>7</v>
      </c>
      <c r="B4" s="68">
        <v>43404</v>
      </c>
      <c r="C4" t="s">
        <v>243</v>
      </c>
      <c r="D4" t="s">
        <v>267</v>
      </c>
      <c r="E4">
        <v>28</v>
      </c>
      <c r="F4">
        <v>24</v>
      </c>
      <c r="G4">
        <v>51</v>
      </c>
      <c r="H4">
        <v>48</v>
      </c>
      <c r="I4">
        <v>80</v>
      </c>
      <c r="J4">
        <v>78</v>
      </c>
      <c r="K4">
        <v>98</v>
      </c>
      <c r="L4">
        <v>98</v>
      </c>
      <c r="M4">
        <v>108</v>
      </c>
      <c r="N4">
        <v>107</v>
      </c>
      <c r="O4">
        <v>108</v>
      </c>
      <c r="P4">
        <v>107</v>
      </c>
    </row>
    <row r="5" spans="1:27">
      <c r="A5">
        <v>8</v>
      </c>
      <c r="B5" s="68">
        <v>43405</v>
      </c>
      <c r="C5" t="s">
        <v>243</v>
      </c>
      <c r="D5" t="s">
        <v>255</v>
      </c>
      <c r="E5">
        <v>15</v>
      </c>
      <c r="F5">
        <v>27</v>
      </c>
      <c r="G5">
        <v>50</v>
      </c>
      <c r="H5">
        <v>42</v>
      </c>
      <c r="I5">
        <v>83</v>
      </c>
      <c r="J5">
        <v>66</v>
      </c>
      <c r="K5">
        <v>110</v>
      </c>
      <c r="L5">
        <v>91</v>
      </c>
      <c r="M5">
        <v>110</v>
      </c>
      <c r="N5">
        <v>91</v>
      </c>
    </row>
    <row r="6" spans="1:27">
      <c r="A6">
        <v>11</v>
      </c>
      <c r="B6" s="68">
        <v>43411</v>
      </c>
      <c r="C6" t="s">
        <v>243</v>
      </c>
      <c r="D6" t="s">
        <v>249</v>
      </c>
      <c r="E6">
        <v>29</v>
      </c>
      <c r="F6">
        <v>22</v>
      </c>
      <c r="G6">
        <v>47</v>
      </c>
      <c r="H6">
        <v>50</v>
      </c>
      <c r="I6">
        <v>70</v>
      </c>
      <c r="J6">
        <v>70</v>
      </c>
      <c r="K6">
        <v>87</v>
      </c>
      <c r="L6">
        <v>89</v>
      </c>
      <c r="M6">
        <v>87</v>
      </c>
      <c r="N6">
        <v>89</v>
      </c>
    </row>
    <row r="7" spans="1:27">
      <c r="A7">
        <v>16</v>
      </c>
      <c r="B7" s="68">
        <v>43421</v>
      </c>
      <c r="C7" t="s">
        <v>243</v>
      </c>
      <c r="D7" t="s">
        <v>257</v>
      </c>
      <c r="E7">
        <v>35</v>
      </c>
      <c r="F7">
        <v>37</v>
      </c>
      <c r="G7">
        <v>67</v>
      </c>
      <c r="H7">
        <v>70</v>
      </c>
      <c r="I7">
        <v>88</v>
      </c>
      <c r="J7">
        <v>98</v>
      </c>
      <c r="K7">
        <v>115</v>
      </c>
      <c r="L7">
        <v>125</v>
      </c>
      <c r="M7">
        <v>115</v>
      </c>
      <c r="N7">
        <v>125</v>
      </c>
    </row>
    <row r="8" spans="1:27">
      <c r="A8">
        <v>17</v>
      </c>
      <c r="B8" s="68">
        <v>43423</v>
      </c>
      <c r="C8" t="s">
        <v>243</v>
      </c>
      <c r="D8" t="s">
        <v>245</v>
      </c>
      <c r="E8">
        <v>29</v>
      </c>
      <c r="F8">
        <v>25</v>
      </c>
      <c r="G8">
        <v>56</v>
      </c>
      <c r="H8">
        <v>46</v>
      </c>
      <c r="I8">
        <v>77</v>
      </c>
      <c r="J8">
        <v>78</v>
      </c>
      <c r="K8">
        <v>98</v>
      </c>
      <c r="L8">
        <v>104</v>
      </c>
      <c r="M8">
        <v>98</v>
      </c>
      <c r="N8">
        <v>104</v>
      </c>
    </row>
    <row r="9" spans="1:27">
      <c r="A9">
        <v>18</v>
      </c>
      <c r="B9" s="68">
        <v>43425</v>
      </c>
      <c r="C9" t="s">
        <v>243</v>
      </c>
      <c r="D9" t="s">
        <v>259</v>
      </c>
      <c r="E9">
        <v>23</v>
      </c>
      <c r="F9">
        <v>25</v>
      </c>
      <c r="G9">
        <v>50</v>
      </c>
      <c r="H9">
        <v>56</v>
      </c>
      <c r="I9">
        <v>85</v>
      </c>
      <c r="J9">
        <v>74</v>
      </c>
      <c r="K9">
        <v>103</v>
      </c>
      <c r="L9">
        <v>101</v>
      </c>
      <c r="M9">
        <v>103</v>
      </c>
      <c r="N9">
        <v>101</v>
      </c>
    </row>
    <row r="10" spans="1:27">
      <c r="A10">
        <v>20</v>
      </c>
      <c r="B10" s="68">
        <v>43428</v>
      </c>
      <c r="C10" t="s">
        <v>243</v>
      </c>
      <c r="D10" t="s">
        <v>241</v>
      </c>
      <c r="E10">
        <v>33</v>
      </c>
      <c r="F10">
        <v>23</v>
      </c>
      <c r="G10">
        <v>63</v>
      </c>
      <c r="H10">
        <v>42</v>
      </c>
      <c r="I10">
        <v>79</v>
      </c>
      <c r="J10">
        <v>66</v>
      </c>
      <c r="K10">
        <v>105</v>
      </c>
      <c r="L10">
        <v>98</v>
      </c>
      <c r="M10">
        <v>105</v>
      </c>
      <c r="N10">
        <v>98</v>
      </c>
    </row>
    <row r="11" spans="1:27">
      <c r="A11">
        <v>22</v>
      </c>
      <c r="B11" s="68">
        <v>43434</v>
      </c>
      <c r="C11" t="s">
        <v>243</v>
      </c>
      <c r="D11" t="s">
        <v>270</v>
      </c>
      <c r="E11">
        <v>38</v>
      </c>
      <c r="F11">
        <v>26</v>
      </c>
      <c r="G11">
        <v>68</v>
      </c>
      <c r="H11">
        <v>53</v>
      </c>
      <c r="I11">
        <v>91</v>
      </c>
      <c r="J11">
        <v>85</v>
      </c>
      <c r="K11">
        <v>113</v>
      </c>
      <c r="L11">
        <v>112</v>
      </c>
      <c r="M11">
        <v>113</v>
      </c>
      <c r="N11">
        <v>112</v>
      </c>
    </row>
    <row r="12" spans="1:27">
      <c r="A12">
        <v>23</v>
      </c>
      <c r="B12" s="68">
        <v>43437</v>
      </c>
      <c r="C12" t="s">
        <v>243</v>
      </c>
      <c r="D12" t="s">
        <v>256</v>
      </c>
      <c r="E12">
        <v>27</v>
      </c>
      <c r="F12">
        <v>24</v>
      </c>
      <c r="G12">
        <v>59</v>
      </c>
      <c r="H12">
        <v>47</v>
      </c>
      <c r="I12">
        <v>86</v>
      </c>
      <c r="J12">
        <v>78</v>
      </c>
      <c r="K12">
        <v>106</v>
      </c>
      <c r="L12">
        <v>103</v>
      </c>
      <c r="M12">
        <v>106</v>
      </c>
      <c r="N12">
        <v>103</v>
      </c>
    </row>
    <row r="13" spans="1:27">
      <c r="A13">
        <v>24</v>
      </c>
      <c r="B13" s="68">
        <v>43439</v>
      </c>
      <c r="C13" t="s">
        <v>243</v>
      </c>
      <c r="D13" t="s">
        <v>252</v>
      </c>
      <c r="E13">
        <v>31</v>
      </c>
      <c r="F13">
        <v>28</v>
      </c>
      <c r="G13">
        <v>56</v>
      </c>
      <c r="H13">
        <v>54</v>
      </c>
      <c r="I13">
        <v>88</v>
      </c>
      <c r="J13">
        <v>86</v>
      </c>
      <c r="K13">
        <v>112</v>
      </c>
      <c r="L13">
        <v>112</v>
      </c>
      <c r="M13">
        <v>124</v>
      </c>
      <c r="N13">
        <v>118</v>
      </c>
      <c r="O13">
        <v>124</v>
      </c>
      <c r="P13">
        <v>118</v>
      </c>
    </row>
    <row r="14" spans="1:27">
      <c r="A14">
        <v>25</v>
      </c>
      <c r="B14" s="68">
        <v>43441</v>
      </c>
      <c r="C14" t="s">
        <v>243</v>
      </c>
      <c r="D14" t="s">
        <v>246</v>
      </c>
      <c r="E14">
        <v>25</v>
      </c>
      <c r="F14">
        <v>24</v>
      </c>
      <c r="G14">
        <v>53</v>
      </c>
      <c r="H14">
        <v>64</v>
      </c>
      <c r="I14">
        <v>79</v>
      </c>
      <c r="J14">
        <v>87</v>
      </c>
      <c r="K14">
        <v>107</v>
      </c>
      <c r="L14">
        <v>113</v>
      </c>
      <c r="M14">
        <v>107</v>
      </c>
      <c r="N14">
        <v>113</v>
      </c>
    </row>
    <row r="15" spans="1:27">
      <c r="A15">
        <v>26</v>
      </c>
      <c r="B15" s="68">
        <v>43442</v>
      </c>
      <c r="C15" t="s">
        <v>243</v>
      </c>
      <c r="D15" t="s">
        <v>253</v>
      </c>
      <c r="E15">
        <v>35</v>
      </c>
      <c r="F15">
        <v>25</v>
      </c>
      <c r="G15">
        <v>56</v>
      </c>
      <c r="H15">
        <v>51</v>
      </c>
      <c r="I15">
        <v>77</v>
      </c>
      <c r="J15">
        <v>86</v>
      </c>
      <c r="K15">
        <v>98</v>
      </c>
      <c r="L15">
        <v>106</v>
      </c>
      <c r="M15">
        <v>98</v>
      </c>
      <c r="N15">
        <v>106</v>
      </c>
    </row>
    <row r="16" spans="1:27">
      <c r="A16">
        <v>31</v>
      </c>
      <c r="B16" s="68">
        <v>43456</v>
      </c>
      <c r="C16" t="s">
        <v>243</v>
      </c>
      <c r="D16" t="s">
        <v>264</v>
      </c>
      <c r="E16">
        <v>26</v>
      </c>
      <c r="F16">
        <v>34</v>
      </c>
      <c r="G16">
        <v>59</v>
      </c>
      <c r="H16">
        <v>68</v>
      </c>
      <c r="I16">
        <v>86</v>
      </c>
      <c r="J16">
        <v>103</v>
      </c>
      <c r="K16">
        <v>111</v>
      </c>
      <c r="L16">
        <v>132</v>
      </c>
      <c r="M16">
        <v>111</v>
      </c>
      <c r="N16">
        <v>132</v>
      </c>
    </row>
    <row r="17" spans="1:14">
      <c r="A17">
        <v>32</v>
      </c>
      <c r="B17" s="68">
        <v>43460</v>
      </c>
      <c r="C17" t="s">
        <v>243</v>
      </c>
      <c r="D17" t="s">
        <v>260</v>
      </c>
      <c r="E17">
        <v>26</v>
      </c>
      <c r="F17">
        <v>34</v>
      </c>
      <c r="G17">
        <v>53</v>
      </c>
      <c r="H17">
        <v>55</v>
      </c>
      <c r="I17">
        <v>75</v>
      </c>
      <c r="J17">
        <v>77</v>
      </c>
      <c r="K17">
        <v>103</v>
      </c>
      <c r="L17">
        <v>111</v>
      </c>
      <c r="M17">
        <v>103</v>
      </c>
      <c r="N17">
        <v>111</v>
      </c>
    </row>
    <row r="18" spans="1:14">
      <c r="A18">
        <v>34</v>
      </c>
      <c r="B18" s="68">
        <v>43463</v>
      </c>
      <c r="C18" t="s">
        <v>243</v>
      </c>
      <c r="D18" t="s">
        <v>266</v>
      </c>
      <c r="E18">
        <v>36</v>
      </c>
      <c r="F18">
        <v>16</v>
      </c>
      <c r="G18">
        <v>62</v>
      </c>
      <c r="H18">
        <v>49</v>
      </c>
      <c r="I18">
        <v>90</v>
      </c>
      <c r="J18">
        <v>78</v>
      </c>
      <c r="K18">
        <v>122</v>
      </c>
      <c r="L18">
        <v>118</v>
      </c>
      <c r="M18">
        <v>122</v>
      </c>
      <c r="N18">
        <v>118</v>
      </c>
    </row>
    <row r="19" spans="1:14">
      <c r="A19">
        <v>36</v>
      </c>
      <c r="B19" s="68">
        <v>43468</v>
      </c>
      <c r="C19" t="s">
        <v>243</v>
      </c>
      <c r="D19" t="s">
        <v>262</v>
      </c>
      <c r="E19">
        <v>30</v>
      </c>
      <c r="F19">
        <v>30</v>
      </c>
      <c r="G19">
        <v>53</v>
      </c>
      <c r="H19">
        <v>66</v>
      </c>
      <c r="I19">
        <v>84</v>
      </c>
      <c r="J19">
        <v>84</v>
      </c>
      <c r="K19">
        <v>117</v>
      </c>
      <c r="L19">
        <v>113</v>
      </c>
      <c r="M19">
        <v>117</v>
      </c>
      <c r="N19">
        <v>113</v>
      </c>
    </row>
    <row r="20" spans="1:14">
      <c r="A20">
        <v>2</v>
      </c>
      <c r="B20" s="68">
        <v>43393</v>
      </c>
      <c r="C20" t="s">
        <v>244</v>
      </c>
      <c r="D20" t="s">
        <v>266</v>
      </c>
      <c r="E20">
        <v>30</v>
      </c>
      <c r="F20">
        <v>16</v>
      </c>
      <c r="G20">
        <v>65</v>
      </c>
      <c r="H20">
        <v>49</v>
      </c>
      <c r="I20">
        <v>92</v>
      </c>
      <c r="J20">
        <v>79</v>
      </c>
      <c r="K20">
        <v>119</v>
      </c>
      <c r="L20">
        <v>91</v>
      </c>
      <c r="M20">
        <v>119</v>
      </c>
      <c r="N20">
        <v>91</v>
      </c>
    </row>
    <row r="21" spans="1:14">
      <c r="A21">
        <v>3</v>
      </c>
      <c r="B21" s="68">
        <v>43394</v>
      </c>
      <c r="C21" t="s">
        <v>244</v>
      </c>
      <c r="D21" t="s">
        <v>242</v>
      </c>
      <c r="E21">
        <v>17</v>
      </c>
      <c r="F21">
        <v>25</v>
      </c>
      <c r="G21">
        <v>47</v>
      </c>
      <c r="H21">
        <v>49</v>
      </c>
      <c r="I21">
        <v>80</v>
      </c>
      <c r="J21">
        <v>70</v>
      </c>
      <c r="K21">
        <v>100</v>
      </c>
      <c r="L21">
        <v>98</v>
      </c>
      <c r="M21">
        <v>100</v>
      </c>
      <c r="N21">
        <v>98</v>
      </c>
    </row>
    <row r="22" spans="1:14">
      <c r="A22">
        <v>4</v>
      </c>
      <c r="B22" s="68">
        <v>43396</v>
      </c>
      <c r="C22" t="s">
        <v>244</v>
      </c>
      <c r="D22" t="s">
        <v>262</v>
      </c>
      <c r="E22">
        <v>33</v>
      </c>
      <c r="F22">
        <v>26</v>
      </c>
      <c r="G22">
        <v>68</v>
      </c>
      <c r="H22">
        <v>55</v>
      </c>
      <c r="I22">
        <v>105</v>
      </c>
      <c r="J22">
        <v>81</v>
      </c>
      <c r="K22">
        <v>126</v>
      </c>
      <c r="L22">
        <v>112</v>
      </c>
      <c r="M22">
        <v>126</v>
      </c>
      <c r="N22">
        <v>112</v>
      </c>
    </row>
    <row r="23" spans="1:14">
      <c r="A23">
        <v>6</v>
      </c>
      <c r="B23" s="68">
        <v>43402</v>
      </c>
      <c r="C23" t="s">
        <v>244</v>
      </c>
      <c r="D23" t="s">
        <v>257</v>
      </c>
      <c r="E23">
        <v>20</v>
      </c>
      <c r="F23">
        <v>24</v>
      </c>
      <c r="G23">
        <v>58</v>
      </c>
      <c r="H23">
        <v>45</v>
      </c>
      <c r="I23">
        <v>84</v>
      </c>
      <c r="J23">
        <v>76</v>
      </c>
      <c r="K23">
        <v>116</v>
      </c>
      <c r="L23">
        <v>111</v>
      </c>
      <c r="M23">
        <v>116</v>
      </c>
      <c r="N23">
        <v>111</v>
      </c>
    </row>
    <row r="24" spans="1:14">
      <c r="A24">
        <v>9</v>
      </c>
      <c r="B24" s="68">
        <v>43407</v>
      </c>
      <c r="C24" t="s">
        <v>244</v>
      </c>
      <c r="D24" t="s">
        <v>261</v>
      </c>
      <c r="E24">
        <v>25</v>
      </c>
      <c r="F24">
        <v>25</v>
      </c>
      <c r="G24">
        <v>47</v>
      </c>
      <c r="H24">
        <v>46</v>
      </c>
      <c r="I24">
        <v>68</v>
      </c>
      <c r="J24">
        <v>73</v>
      </c>
      <c r="K24">
        <v>103</v>
      </c>
      <c r="L24">
        <v>88</v>
      </c>
      <c r="M24">
        <v>103</v>
      </c>
      <c r="N24">
        <v>88</v>
      </c>
    </row>
    <row r="25" spans="1:14">
      <c r="A25">
        <v>10</v>
      </c>
      <c r="B25" s="68">
        <v>43409</v>
      </c>
      <c r="C25" t="s">
        <v>244</v>
      </c>
      <c r="D25" t="s">
        <v>240</v>
      </c>
      <c r="E25">
        <v>19</v>
      </c>
      <c r="F25">
        <v>34</v>
      </c>
      <c r="G25">
        <v>54</v>
      </c>
      <c r="H25">
        <v>56</v>
      </c>
      <c r="I25">
        <v>88</v>
      </c>
      <c r="J25">
        <v>81</v>
      </c>
      <c r="K25">
        <v>115</v>
      </c>
      <c r="L25">
        <v>107</v>
      </c>
      <c r="M25">
        <v>115</v>
      </c>
      <c r="N25">
        <v>107</v>
      </c>
    </row>
    <row r="26" spans="1:14">
      <c r="A26">
        <v>12</v>
      </c>
      <c r="B26" s="68">
        <v>43413</v>
      </c>
      <c r="C26" t="s">
        <v>244</v>
      </c>
      <c r="D26" t="s">
        <v>247</v>
      </c>
      <c r="E26">
        <v>24</v>
      </c>
      <c r="F26">
        <v>34</v>
      </c>
      <c r="G26">
        <v>47</v>
      </c>
      <c r="H26">
        <v>55</v>
      </c>
      <c r="I26">
        <v>76</v>
      </c>
      <c r="J26">
        <v>82</v>
      </c>
      <c r="K26">
        <v>110</v>
      </c>
      <c r="L26">
        <v>112</v>
      </c>
      <c r="M26">
        <v>110</v>
      </c>
      <c r="N26">
        <v>112</v>
      </c>
    </row>
    <row r="27" spans="1:14">
      <c r="A27">
        <v>13</v>
      </c>
      <c r="B27" s="68">
        <v>43415</v>
      </c>
      <c r="C27" t="s">
        <v>244</v>
      </c>
      <c r="D27" t="s">
        <v>245</v>
      </c>
      <c r="E27">
        <v>35</v>
      </c>
      <c r="F27">
        <v>33</v>
      </c>
      <c r="G27">
        <v>59</v>
      </c>
      <c r="H27">
        <v>63</v>
      </c>
      <c r="I27">
        <v>88</v>
      </c>
      <c r="J27">
        <v>99</v>
      </c>
      <c r="K27">
        <v>114</v>
      </c>
      <c r="L27">
        <v>121</v>
      </c>
      <c r="M27">
        <v>114</v>
      </c>
      <c r="N27">
        <v>121</v>
      </c>
    </row>
    <row r="28" spans="1:14">
      <c r="A28">
        <v>14</v>
      </c>
      <c r="B28" s="68">
        <v>43417</v>
      </c>
      <c r="C28" t="s">
        <v>244</v>
      </c>
      <c r="D28" t="s">
        <v>258</v>
      </c>
      <c r="E28">
        <v>30</v>
      </c>
      <c r="F28">
        <v>27</v>
      </c>
      <c r="G28">
        <v>55</v>
      </c>
      <c r="H28">
        <v>54</v>
      </c>
      <c r="I28">
        <v>76</v>
      </c>
      <c r="J28">
        <v>86</v>
      </c>
      <c r="K28">
        <v>99</v>
      </c>
      <c r="L28">
        <v>109</v>
      </c>
      <c r="M28">
        <v>99</v>
      </c>
      <c r="N28">
        <v>109</v>
      </c>
    </row>
    <row r="29" spans="1:14">
      <c r="A29">
        <v>15</v>
      </c>
      <c r="B29" s="68">
        <v>43419</v>
      </c>
      <c r="C29" t="s">
        <v>244</v>
      </c>
      <c r="D29" t="s">
        <v>253</v>
      </c>
      <c r="E29">
        <v>35</v>
      </c>
      <c r="F29">
        <v>23</v>
      </c>
      <c r="G29">
        <v>73</v>
      </c>
      <c r="H29">
        <v>57</v>
      </c>
      <c r="I29">
        <v>109</v>
      </c>
      <c r="J29">
        <v>73</v>
      </c>
      <c r="K29">
        <v>138</v>
      </c>
      <c r="L29">
        <v>93</v>
      </c>
      <c r="M29">
        <v>138</v>
      </c>
      <c r="N29">
        <v>93</v>
      </c>
    </row>
    <row r="30" spans="1:14">
      <c r="A30">
        <v>19</v>
      </c>
      <c r="B30" s="68">
        <v>43427</v>
      </c>
      <c r="C30" t="s">
        <v>244</v>
      </c>
      <c r="D30" t="s">
        <v>252</v>
      </c>
      <c r="E30">
        <v>21</v>
      </c>
      <c r="F30">
        <v>19</v>
      </c>
      <c r="G30">
        <v>54</v>
      </c>
      <c r="H30">
        <v>41</v>
      </c>
      <c r="I30">
        <v>80</v>
      </c>
      <c r="J30">
        <v>68</v>
      </c>
      <c r="K30">
        <v>112</v>
      </c>
      <c r="L30">
        <v>87</v>
      </c>
      <c r="M30">
        <v>112</v>
      </c>
      <c r="N30">
        <v>87</v>
      </c>
    </row>
    <row r="31" spans="1:14">
      <c r="A31">
        <v>21</v>
      </c>
      <c r="B31" s="68">
        <v>43431</v>
      </c>
      <c r="C31" t="s">
        <v>244</v>
      </c>
      <c r="D31" t="s">
        <v>269</v>
      </c>
      <c r="E31">
        <v>30</v>
      </c>
      <c r="F31">
        <v>26</v>
      </c>
      <c r="G31">
        <v>58</v>
      </c>
      <c r="H31">
        <v>50</v>
      </c>
      <c r="I31">
        <v>89</v>
      </c>
      <c r="J31">
        <v>71</v>
      </c>
      <c r="K31">
        <v>117</v>
      </c>
      <c r="L31">
        <v>85</v>
      </c>
      <c r="M31">
        <v>117</v>
      </c>
      <c r="N31">
        <v>85</v>
      </c>
    </row>
    <row r="32" spans="1:14">
      <c r="A32">
        <v>27</v>
      </c>
      <c r="B32" s="68">
        <v>43444</v>
      </c>
      <c r="C32" t="s">
        <v>244</v>
      </c>
      <c r="D32" t="s">
        <v>249</v>
      </c>
      <c r="E32">
        <v>26</v>
      </c>
      <c r="F32">
        <v>22</v>
      </c>
      <c r="G32">
        <v>55</v>
      </c>
      <c r="H32">
        <v>50</v>
      </c>
      <c r="I32">
        <v>84</v>
      </c>
      <c r="J32">
        <v>83</v>
      </c>
      <c r="K32">
        <v>105</v>
      </c>
      <c r="L32">
        <v>99</v>
      </c>
      <c r="M32">
        <v>105</v>
      </c>
      <c r="N32">
        <v>99</v>
      </c>
    </row>
    <row r="33" spans="1:14">
      <c r="A33">
        <v>28</v>
      </c>
      <c r="B33" s="68">
        <v>43448</v>
      </c>
      <c r="C33" t="s">
        <v>244</v>
      </c>
      <c r="D33" t="s">
        <v>241</v>
      </c>
      <c r="E33">
        <v>39</v>
      </c>
      <c r="F33">
        <v>32</v>
      </c>
      <c r="G33">
        <v>60</v>
      </c>
      <c r="H33">
        <v>52</v>
      </c>
      <c r="I33">
        <v>82</v>
      </c>
      <c r="J33">
        <v>76</v>
      </c>
      <c r="K33">
        <v>109</v>
      </c>
      <c r="L33">
        <v>98</v>
      </c>
      <c r="M33">
        <v>109</v>
      </c>
      <c r="N33">
        <v>98</v>
      </c>
    </row>
    <row r="34" spans="1:14">
      <c r="A34">
        <v>29</v>
      </c>
      <c r="B34" s="68">
        <v>43450</v>
      </c>
      <c r="C34" t="s">
        <v>244</v>
      </c>
      <c r="D34" t="s">
        <v>256</v>
      </c>
      <c r="E34">
        <v>23</v>
      </c>
      <c r="F34">
        <v>23</v>
      </c>
      <c r="G34">
        <v>39</v>
      </c>
      <c r="H34">
        <v>47</v>
      </c>
      <c r="I34">
        <v>68</v>
      </c>
      <c r="J34">
        <v>72</v>
      </c>
      <c r="K34">
        <v>95</v>
      </c>
      <c r="L34">
        <v>86</v>
      </c>
      <c r="M34">
        <v>95</v>
      </c>
      <c r="N34">
        <v>86</v>
      </c>
    </row>
    <row r="35" spans="1:14">
      <c r="A35">
        <v>30</v>
      </c>
      <c r="B35" s="68">
        <v>43452</v>
      </c>
      <c r="C35" t="s">
        <v>244</v>
      </c>
      <c r="D35" t="s">
        <v>265</v>
      </c>
      <c r="E35">
        <v>34</v>
      </c>
      <c r="F35">
        <v>33</v>
      </c>
      <c r="G35">
        <v>74</v>
      </c>
      <c r="H35">
        <v>69</v>
      </c>
      <c r="I35">
        <v>105</v>
      </c>
      <c r="J35">
        <v>95</v>
      </c>
      <c r="K35">
        <v>126</v>
      </c>
      <c r="L35">
        <v>118</v>
      </c>
      <c r="M35">
        <v>126</v>
      </c>
      <c r="N35">
        <v>118</v>
      </c>
    </row>
    <row r="36" spans="1:14">
      <c r="A36">
        <v>33</v>
      </c>
      <c r="B36" s="68">
        <v>43462</v>
      </c>
      <c r="C36" t="s">
        <v>244</v>
      </c>
      <c r="D36" t="s">
        <v>260</v>
      </c>
      <c r="E36">
        <v>31</v>
      </c>
      <c r="F36">
        <v>23</v>
      </c>
      <c r="G36">
        <v>61</v>
      </c>
      <c r="H36">
        <v>47</v>
      </c>
      <c r="I36">
        <v>78</v>
      </c>
      <c r="J36">
        <v>75</v>
      </c>
      <c r="K36">
        <v>102</v>
      </c>
      <c r="L36">
        <v>99</v>
      </c>
      <c r="M36">
        <v>102</v>
      </c>
      <c r="N36">
        <v>99</v>
      </c>
    </row>
    <row r="37" spans="1:14">
      <c r="A37">
        <v>35</v>
      </c>
      <c r="B37" s="68">
        <v>43466</v>
      </c>
      <c r="C37" t="s">
        <v>244</v>
      </c>
      <c r="D37" t="s">
        <v>254</v>
      </c>
      <c r="E37">
        <v>28</v>
      </c>
      <c r="F37">
        <v>32</v>
      </c>
      <c r="G37">
        <v>55</v>
      </c>
      <c r="H37">
        <v>56</v>
      </c>
      <c r="I37">
        <v>82</v>
      </c>
      <c r="J37">
        <v>84</v>
      </c>
      <c r="K37">
        <v>115</v>
      </c>
      <c r="L37">
        <v>108</v>
      </c>
      <c r="M37">
        <v>115</v>
      </c>
      <c r="N37">
        <v>108</v>
      </c>
    </row>
  </sheetData>
  <sortState xmlns:xlrd2="http://schemas.microsoft.com/office/spreadsheetml/2017/richdata2" ref="A2:Z62">
    <sortCondition ref="C1"/>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dimension ref="A1:R39"/>
  <sheetViews>
    <sheetView topLeftCell="L1" workbookViewId="0">
      <selection activeCell="K19" sqref="K19"/>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4</v>
      </c>
      <c r="B2" s="68">
        <v>43398</v>
      </c>
      <c r="C2" t="s">
        <v>243</v>
      </c>
      <c r="D2" t="s">
        <v>252</v>
      </c>
      <c r="E2">
        <v>33</v>
      </c>
      <c r="F2">
        <v>22</v>
      </c>
      <c r="G2">
        <v>58</v>
      </c>
      <c r="H2">
        <v>48</v>
      </c>
      <c r="I2">
        <v>91</v>
      </c>
      <c r="J2">
        <v>84</v>
      </c>
      <c r="K2">
        <v>128</v>
      </c>
      <c r="L2">
        <v>114</v>
      </c>
      <c r="M2">
        <v>128</v>
      </c>
      <c r="N2">
        <v>114</v>
      </c>
    </row>
    <row r="3" spans="1:18">
      <c r="A3">
        <v>5</v>
      </c>
      <c r="B3" s="68">
        <v>43400</v>
      </c>
      <c r="C3" t="s">
        <v>243</v>
      </c>
      <c r="D3" t="s">
        <v>251</v>
      </c>
      <c r="E3">
        <v>22</v>
      </c>
      <c r="F3">
        <v>33</v>
      </c>
      <c r="G3">
        <v>42</v>
      </c>
      <c r="H3">
        <v>57</v>
      </c>
      <c r="I3">
        <v>79</v>
      </c>
      <c r="J3">
        <v>89</v>
      </c>
      <c r="K3">
        <v>111</v>
      </c>
      <c r="L3">
        <v>120</v>
      </c>
      <c r="M3">
        <v>111</v>
      </c>
      <c r="N3">
        <v>120</v>
      </c>
    </row>
    <row r="4" spans="1:18">
      <c r="A4">
        <v>6</v>
      </c>
      <c r="B4" s="68">
        <v>43402</v>
      </c>
      <c r="C4" t="s">
        <v>243</v>
      </c>
      <c r="D4" t="s">
        <v>250</v>
      </c>
      <c r="E4">
        <v>23</v>
      </c>
      <c r="F4">
        <v>16</v>
      </c>
      <c r="G4">
        <v>45</v>
      </c>
      <c r="H4">
        <v>49</v>
      </c>
      <c r="I4">
        <v>71</v>
      </c>
      <c r="J4">
        <v>69</v>
      </c>
      <c r="K4">
        <v>103</v>
      </c>
      <c r="L4">
        <v>93</v>
      </c>
      <c r="M4">
        <v>103</v>
      </c>
      <c r="N4">
        <v>93</v>
      </c>
    </row>
    <row r="5" spans="1:18">
      <c r="A5">
        <v>7</v>
      </c>
      <c r="B5" s="68">
        <v>43403</v>
      </c>
      <c r="C5" t="s">
        <v>243</v>
      </c>
      <c r="D5" t="s">
        <v>258</v>
      </c>
      <c r="E5">
        <v>19</v>
      </c>
      <c r="F5">
        <v>15</v>
      </c>
      <c r="G5">
        <v>51</v>
      </c>
      <c r="H5">
        <v>36</v>
      </c>
      <c r="I5">
        <v>85</v>
      </c>
      <c r="J5">
        <v>62</v>
      </c>
      <c r="K5">
        <v>104</v>
      </c>
      <c r="L5">
        <v>85</v>
      </c>
      <c r="M5">
        <v>104</v>
      </c>
      <c r="N5">
        <v>85</v>
      </c>
    </row>
    <row r="6" spans="1:18">
      <c r="A6">
        <v>14</v>
      </c>
      <c r="B6" s="68">
        <v>43418</v>
      </c>
      <c r="C6" t="s">
        <v>243</v>
      </c>
      <c r="D6" t="s">
        <v>269</v>
      </c>
      <c r="E6">
        <v>33</v>
      </c>
      <c r="F6">
        <v>26</v>
      </c>
      <c r="G6">
        <v>55</v>
      </c>
      <c r="H6">
        <v>59</v>
      </c>
      <c r="I6">
        <v>89</v>
      </c>
      <c r="J6">
        <v>97</v>
      </c>
      <c r="K6">
        <v>117</v>
      </c>
      <c r="L6">
        <v>126</v>
      </c>
      <c r="M6">
        <v>117</v>
      </c>
      <c r="N6">
        <v>126</v>
      </c>
    </row>
    <row r="7" spans="1:18">
      <c r="A7">
        <v>15</v>
      </c>
      <c r="B7" s="68">
        <v>43420</v>
      </c>
      <c r="C7" t="s">
        <v>243</v>
      </c>
      <c r="D7" t="s">
        <v>259</v>
      </c>
      <c r="E7">
        <v>21</v>
      </c>
      <c r="F7">
        <v>29</v>
      </c>
      <c r="G7">
        <v>43</v>
      </c>
      <c r="H7">
        <v>55</v>
      </c>
      <c r="I7">
        <v>67</v>
      </c>
      <c r="J7">
        <v>83</v>
      </c>
      <c r="K7">
        <v>96</v>
      </c>
      <c r="L7">
        <v>112</v>
      </c>
      <c r="M7">
        <v>96</v>
      </c>
      <c r="N7">
        <v>112</v>
      </c>
    </row>
    <row r="8" spans="1:18">
      <c r="A8">
        <v>16</v>
      </c>
      <c r="B8" s="68">
        <v>43422</v>
      </c>
      <c r="C8" t="s">
        <v>243</v>
      </c>
      <c r="D8" t="s">
        <v>268</v>
      </c>
      <c r="E8">
        <v>32</v>
      </c>
      <c r="F8">
        <v>25</v>
      </c>
      <c r="G8">
        <v>62</v>
      </c>
      <c r="H8">
        <v>41</v>
      </c>
      <c r="I8">
        <v>91</v>
      </c>
      <c r="J8">
        <v>70</v>
      </c>
      <c r="K8">
        <v>119</v>
      </c>
      <c r="L8">
        <v>109</v>
      </c>
      <c r="M8">
        <v>119</v>
      </c>
      <c r="N8">
        <v>109</v>
      </c>
    </row>
    <row r="9" spans="1:18">
      <c r="A9">
        <v>17</v>
      </c>
      <c r="B9" s="68">
        <v>43424</v>
      </c>
      <c r="C9" t="s">
        <v>243</v>
      </c>
      <c r="D9" t="s">
        <v>254</v>
      </c>
      <c r="E9">
        <v>33</v>
      </c>
      <c r="F9">
        <v>35</v>
      </c>
      <c r="G9">
        <v>58</v>
      </c>
      <c r="H9">
        <v>60</v>
      </c>
      <c r="I9">
        <v>89</v>
      </c>
      <c r="J9">
        <v>85</v>
      </c>
      <c r="K9">
        <v>118</v>
      </c>
      <c r="L9">
        <v>114</v>
      </c>
      <c r="M9">
        <v>118</v>
      </c>
      <c r="N9">
        <v>114</v>
      </c>
    </row>
    <row r="10" spans="1:18">
      <c r="A10">
        <v>18</v>
      </c>
      <c r="B10" s="68">
        <v>43425</v>
      </c>
      <c r="C10" t="s">
        <v>243</v>
      </c>
      <c r="D10" t="s">
        <v>245</v>
      </c>
      <c r="E10">
        <v>20</v>
      </c>
      <c r="F10">
        <v>31</v>
      </c>
      <c r="G10">
        <v>50</v>
      </c>
      <c r="H10">
        <v>72</v>
      </c>
      <c r="I10">
        <v>79</v>
      </c>
      <c r="J10">
        <v>109</v>
      </c>
      <c r="K10">
        <v>100</v>
      </c>
      <c r="L10">
        <v>143</v>
      </c>
      <c r="M10">
        <v>100</v>
      </c>
      <c r="N10">
        <v>143</v>
      </c>
    </row>
    <row r="11" spans="1:18">
      <c r="A11">
        <v>19</v>
      </c>
      <c r="B11" s="68">
        <v>43427</v>
      </c>
      <c r="C11" t="s">
        <v>243</v>
      </c>
      <c r="D11" t="s">
        <v>242</v>
      </c>
      <c r="E11">
        <v>27</v>
      </c>
      <c r="F11">
        <v>24</v>
      </c>
      <c r="G11">
        <v>44</v>
      </c>
      <c r="H11">
        <v>59</v>
      </c>
      <c r="I11">
        <v>73</v>
      </c>
      <c r="J11">
        <v>92</v>
      </c>
      <c r="K11">
        <v>97</v>
      </c>
      <c r="L11">
        <v>125</v>
      </c>
      <c r="M11">
        <v>97</v>
      </c>
      <c r="N11">
        <v>125</v>
      </c>
    </row>
    <row r="12" spans="1:18">
      <c r="A12">
        <v>23</v>
      </c>
      <c r="B12" s="68">
        <v>43436</v>
      </c>
      <c r="C12" t="s">
        <v>243</v>
      </c>
      <c r="D12" t="s">
        <v>260</v>
      </c>
      <c r="E12">
        <v>33</v>
      </c>
      <c r="F12">
        <v>32</v>
      </c>
      <c r="G12">
        <v>55</v>
      </c>
      <c r="H12">
        <v>62</v>
      </c>
      <c r="I12">
        <v>90</v>
      </c>
      <c r="J12">
        <v>97</v>
      </c>
      <c r="K12">
        <v>118</v>
      </c>
      <c r="L12">
        <v>131</v>
      </c>
      <c r="M12">
        <v>118</v>
      </c>
      <c r="N12">
        <v>131</v>
      </c>
    </row>
    <row r="13" spans="1:18">
      <c r="A13">
        <v>24</v>
      </c>
      <c r="B13" s="68">
        <v>43438</v>
      </c>
      <c r="C13" t="s">
        <v>243</v>
      </c>
      <c r="D13" t="s">
        <v>265</v>
      </c>
      <c r="E13">
        <v>20</v>
      </c>
      <c r="F13">
        <v>34</v>
      </c>
      <c r="G13">
        <v>45</v>
      </c>
      <c r="H13">
        <v>60</v>
      </c>
      <c r="I13">
        <v>73</v>
      </c>
      <c r="J13">
        <v>87</v>
      </c>
      <c r="K13">
        <v>102</v>
      </c>
      <c r="L13">
        <v>111</v>
      </c>
      <c r="M13">
        <v>102</v>
      </c>
      <c r="N13">
        <v>111</v>
      </c>
    </row>
    <row r="14" spans="1:18">
      <c r="A14">
        <v>27</v>
      </c>
      <c r="B14" s="68">
        <v>43445</v>
      </c>
      <c r="C14" t="s">
        <v>243</v>
      </c>
      <c r="D14" t="s">
        <v>258</v>
      </c>
      <c r="E14">
        <v>29</v>
      </c>
      <c r="F14">
        <v>27</v>
      </c>
      <c r="G14">
        <v>54</v>
      </c>
      <c r="H14">
        <v>51</v>
      </c>
      <c r="I14">
        <v>78</v>
      </c>
      <c r="J14">
        <v>81</v>
      </c>
      <c r="K14">
        <v>104</v>
      </c>
      <c r="L14">
        <v>111</v>
      </c>
      <c r="M14">
        <v>104</v>
      </c>
      <c r="N14">
        <v>111</v>
      </c>
    </row>
    <row r="15" spans="1:18">
      <c r="A15">
        <v>28</v>
      </c>
      <c r="B15" s="68">
        <v>43446</v>
      </c>
      <c r="C15" t="s">
        <v>243</v>
      </c>
      <c r="D15" t="s">
        <v>249</v>
      </c>
      <c r="E15">
        <v>26</v>
      </c>
      <c r="F15">
        <v>15</v>
      </c>
      <c r="G15">
        <v>40</v>
      </c>
      <c r="H15">
        <v>42</v>
      </c>
      <c r="I15">
        <v>63</v>
      </c>
      <c r="J15">
        <v>68</v>
      </c>
      <c r="K15">
        <v>83</v>
      </c>
      <c r="L15">
        <v>92</v>
      </c>
      <c r="M15">
        <v>83</v>
      </c>
      <c r="N15">
        <v>92</v>
      </c>
    </row>
    <row r="16" spans="1:18">
      <c r="A16">
        <v>30</v>
      </c>
      <c r="B16" s="68">
        <v>43451</v>
      </c>
      <c r="C16" t="s">
        <v>243</v>
      </c>
      <c r="D16" t="s">
        <v>264</v>
      </c>
      <c r="E16">
        <v>37</v>
      </c>
      <c r="F16">
        <v>29</v>
      </c>
      <c r="G16">
        <v>58</v>
      </c>
      <c r="H16">
        <v>60</v>
      </c>
      <c r="I16">
        <v>100</v>
      </c>
      <c r="J16">
        <v>88</v>
      </c>
      <c r="K16">
        <v>131</v>
      </c>
      <c r="L16">
        <v>127</v>
      </c>
      <c r="M16">
        <v>131</v>
      </c>
      <c r="N16">
        <v>127</v>
      </c>
    </row>
    <row r="17" spans="1:16">
      <c r="A17">
        <v>34</v>
      </c>
      <c r="B17" s="68">
        <v>43459</v>
      </c>
      <c r="C17" t="s">
        <v>243</v>
      </c>
      <c r="D17" t="s">
        <v>261</v>
      </c>
      <c r="E17">
        <v>24</v>
      </c>
      <c r="F17">
        <v>24</v>
      </c>
      <c r="G17">
        <v>47</v>
      </c>
      <c r="H17">
        <v>59</v>
      </c>
      <c r="I17">
        <v>70</v>
      </c>
      <c r="J17">
        <v>83</v>
      </c>
      <c r="K17">
        <v>96</v>
      </c>
      <c r="L17">
        <v>117</v>
      </c>
      <c r="M17">
        <v>96</v>
      </c>
      <c r="N17">
        <v>117</v>
      </c>
    </row>
    <row r="18" spans="1:16">
      <c r="A18">
        <v>35</v>
      </c>
      <c r="B18" s="68">
        <v>43461</v>
      </c>
      <c r="C18" t="s">
        <v>243</v>
      </c>
      <c r="D18" t="s">
        <v>242</v>
      </c>
      <c r="E18">
        <v>27</v>
      </c>
      <c r="F18">
        <v>28</v>
      </c>
      <c r="G18">
        <v>52</v>
      </c>
      <c r="H18">
        <v>46</v>
      </c>
      <c r="I18">
        <v>75</v>
      </c>
      <c r="J18">
        <v>71</v>
      </c>
      <c r="K18">
        <v>102</v>
      </c>
      <c r="L18">
        <v>102</v>
      </c>
      <c r="M18">
        <v>110</v>
      </c>
      <c r="N18">
        <v>109</v>
      </c>
      <c r="O18">
        <v>110</v>
      </c>
      <c r="P18">
        <v>109</v>
      </c>
    </row>
    <row r="19" spans="1:16">
      <c r="A19">
        <v>38</v>
      </c>
      <c r="B19" s="68">
        <v>43466</v>
      </c>
      <c r="C19" t="s">
        <v>243</v>
      </c>
      <c r="D19" t="s">
        <v>262</v>
      </c>
      <c r="E19">
        <v>26</v>
      </c>
      <c r="F19">
        <v>25</v>
      </c>
      <c r="G19">
        <v>64</v>
      </c>
      <c r="H19">
        <v>50</v>
      </c>
      <c r="I19">
        <v>83</v>
      </c>
      <c r="J19">
        <v>77</v>
      </c>
      <c r="K19">
        <v>103</v>
      </c>
      <c r="L19">
        <v>103</v>
      </c>
      <c r="M19">
        <v>113</v>
      </c>
      <c r="N19">
        <v>108</v>
      </c>
      <c r="O19">
        <v>113</v>
      </c>
      <c r="P19">
        <v>108</v>
      </c>
    </row>
    <row r="20" spans="1:16">
      <c r="A20">
        <v>1</v>
      </c>
      <c r="B20" s="68">
        <v>43391</v>
      </c>
      <c r="C20" t="s">
        <v>244</v>
      </c>
      <c r="D20" t="s">
        <v>269</v>
      </c>
      <c r="E20">
        <v>34</v>
      </c>
      <c r="F20">
        <v>31</v>
      </c>
      <c r="G20">
        <v>65</v>
      </c>
      <c r="H20">
        <v>63</v>
      </c>
      <c r="I20">
        <v>93</v>
      </c>
      <c r="J20">
        <v>91</v>
      </c>
      <c r="K20">
        <v>128</v>
      </c>
      <c r="L20">
        <v>119</v>
      </c>
      <c r="M20">
        <v>128</v>
      </c>
      <c r="N20">
        <v>119</v>
      </c>
    </row>
    <row r="21" spans="1:16">
      <c r="A21">
        <v>2</v>
      </c>
      <c r="B21" s="68">
        <v>43393</v>
      </c>
      <c r="C21" t="s">
        <v>244</v>
      </c>
      <c r="D21" t="s">
        <v>260</v>
      </c>
      <c r="E21">
        <v>22</v>
      </c>
      <c r="F21">
        <v>22</v>
      </c>
      <c r="G21">
        <v>59</v>
      </c>
      <c r="H21">
        <v>50</v>
      </c>
      <c r="I21">
        <v>97</v>
      </c>
      <c r="J21">
        <v>82</v>
      </c>
      <c r="K21">
        <v>121</v>
      </c>
      <c r="L21">
        <v>108</v>
      </c>
      <c r="M21">
        <v>121</v>
      </c>
      <c r="N21">
        <v>108</v>
      </c>
    </row>
    <row r="22" spans="1:16">
      <c r="A22">
        <v>3</v>
      </c>
      <c r="B22" s="68">
        <v>43395</v>
      </c>
      <c r="C22" t="s">
        <v>244</v>
      </c>
      <c r="D22" t="s">
        <v>268</v>
      </c>
      <c r="E22">
        <v>32</v>
      </c>
      <c r="F22">
        <v>28</v>
      </c>
      <c r="G22">
        <v>62</v>
      </c>
      <c r="H22">
        <v>62</v>
      </c>
      <c r="I22">
        <v>77</v>
      </c>
      <c r="J22">
        <v>78</v>
      </c>
      <c r="K22">
        <v>111</v>
      </c>
      <c r="L22">
        <v>111</v>
      </c>
      <c r="M22">
        <v>124</v>
      </c>
      <c r="N22">
        <v>125</v>
      </c>
      <c r="O22">
        <v>124</v>
      </c>
      <c r="P22">
        <v>125</v>
      </c>
    </row>
    <row r="23" spans="1:16">
      <c r="A23">
        <v>8</v>
      </c>
      <c r="B23" s="68">
        <v>43405</v>
      </c>
      <c r="C23" t="s">
        <v>244</v>
      </c>
      <c r="D23" t="s">
        <v>257</v>
      </c>
      <c r="E23">
        <v>35</v>
      </c>
      <c r="F23">
        <v>31</v>
      </c>
      <c r="G23">
        <v>70</v>
      </c>
      <c r="H23">
        <v>65</v>
      </c>
      <c r="I23">
        <v>102</v>
      </c>
      <c r="J23">
        <v>99</v>
      </c>
      <c r="K23">
        <v>132</v>
      </c>
      <c r="L23">
        <v>119</v>
      </c>
      <c r="M23">
        <v>132</v>
      </c>
      <c r="N23">
        <v>119</v>
      </c>
    </row>
    <row r="24" spans="1:16">
      <c r="A24">
        <v>9</v>
      </c>
      <c r="B24" s="68">
        <v>43407</v>
      </c>
      <c r="C24" t="s">
        <v>244</v>
      </c>
      <c r="D24" t="s">
        <v>269</v>
      </c>
      <c r="E24">
        <v>29</v>
      </c>
      <c r="F24">
        <v>28</v>
      </c>
      <c r="G24">
        <v>57</v>
      </c>
      <c r="H24">
        <v>56</v>
      </c>
      <c r="I24">
        <v>73</v>
      </c>
      <c r="J24">
        <v>88</v>
      </c>
      <c r="K24">
        <v>110</v>
      </c>
      <c r="L24">
        <v>114</v>
      </c>
      <c r="M24">
        <v>110</v>
      </c>
      <c r="N24">
        <v>114</v>
      </c>
    </row>
    <row r="25" spans="1:16">
      <c r="A25">
        <v>10</v>
      </c>
      <c r="B25" s="68">
        <v>43408</v>
      </c>
      <c r="C25" t="s">
        <v>244</v>
      </c>
      <c r="D25" t="s">
        <v>259</v>
      </c>
      <c r="E25">
        <v>30</v>
      </c>
      <c r="F25">
        <v>27</v>
      </c>
      <c r="G25">
        <v>61</v>
      </c>
      <c r="H25">
        <v>45</v>
      </c>
      <c r="I25">
        <v>92</v>
      </c>
      <c r="J25">
        <v>64</v>
      </c>
      <c r="K25">
        <v>111</v>
      </c>
      <c r="L25">
        <v>81</v>
      </c>
      <c r="M25">
        <v>111</v>
      </c>
      <c r="N25">
        <v>81</v>
      </c>
    </row>
    <row r="26" spans="1:16">
      <c r="A26">
        <v>11</v>
      </c>
      <c r="B26" s="68">
        <v>43410</v>
      </c>
      <c r="C26" t="s">
        <v>244</v>
      </c>
      <c r="D26" t="s">
        <v>245</v>
      </c>
      <c r="E26">
        <v>33</v>
      </c>
      <c r="F26">
        <v>31</v>
      </c>
      <c r="G26">
        <v>57</v>
      </c>
      <c r="H26">
        <v>51</v>
      </c>
      <c r="I26">
        <v>91</v>
      </c>
      <c r="J26">
        <v>77</v>
      </c>
      <c r="K26">
        <v>118</v>
      </c>
      <c r="L26">
        <v>103</v>
      </c>
      <c r="M26">
        <v>118</v>
      </c>
      <c r="N26">
        <v>103</v>
      </c>
    </row>
    <row r="27" spans="1:16">
      <c r="A27">
        <v>12</v>
      </c>
      <c r="B27" s="68">
        <v>43412</v>
      </c>
      <c r="C27" t="s">
        <v>244</v>
      </c>
      <c r="D27" t="s">
        <v>264</v>
      </c>
      <c r="E27">
        <v>37</v>
      </c>
      <c r="F27">
        <v>28</v>
      </c>
      <c r="G27">
        <v>61</v>
      </c>
      <c r="H27">
        <v>57</v>
      </c>
      <c r="I27">
        <v>84</v>
      </c>
      <c r="J27">
        <v>81</v>
      </c>
      <c r="K27">
        <v>116</v>
      </c>
      <c r="L27">
        <v>105</v>
      </c>
      <c r="M27">
        <v>116</v>
      </c>
      <c r="N27">
        <v>105</v>
      </c>
    </row>
    <row r="28" spans="1:16">
      <c r="A28">
        <v>13</v>
      </c>
      <c r="B28" s="68">
        <v>43415</v>
      </c>
      <c r="C28" t="s">
        <v>244</v>
      </c>
      <c r="D28" t="s">
        <v>240</v>
      </c>
      <c r="E28">
        <v>26</v>
      </c>
      <c r="F28">
        <v>21</v>
      </c>
      <c r="G28">
        <v>54</v>
      </c>
      <c r="H28">
        <v>37</v>
      </c>
      <c r="I28">
        <v>83</v>
      </c>
      <c r="J28">
        <v>70</v>
      </c>
      <c r="K28">
        <v>100</v>
      </c>
      <c r="L28">
        <v>94</v>
      </c>
      <c r="M28">
        <v>100</v>
      </c>
      <c r="N28">
        <v>94</v>
      </c>
    </row>
    <row r="29" spans="1:16">
      <c r="A29">
        <v>20</v>
      </c>
      <c r="B29" s="68">
        <v>43429</v>
      </c>
      <c r="C29" t="s">
        <v>244</v>
      </c>
      <c r="D29" t="s">
        <v>264</v>
      </c>
      <c r="E29">
        <v>28</v>
      </c>
      <c r="F29">
        <v>24</v>
      </c>
      <c r="G29">
        <v>58</v>
      </c>
      <c r="H29">
        <v>45</v>
      </c>
      <c r="I29">
        <v>74</v>
      </c>
      <c r="J29">
        <v>83</v>
      </c>
      <c r="K29">
        <v>100</v>
      </c>
      <c r="L29">
        <v>104</v>
      </c>
      <c r="M29">
        <v>100</v>
      </c>
      <c r="N29">
        <v>104</v>
      </c>
    </row>
    <row r="30" spans="1:16">
      <c r="A30">
        <v>21</v>
      </c>
      <c r="B30" s="68">
        <v>43432</v>
      </c>
      <c r="C30" t="s">
        <v>244</v>
      </c>
      <c r="D30" t="s">
        <v>252</v>
      </c>
      <c r="E30">
        <v>33</v>
      </c>
      <c r="F30">
        <v>30</v>
      </c>
      <c r="G30">
        <v>55</v>
      </c>
      <c r="H30">
        <v>63</v>
      </c>
      <c r="I30">
        <v>95</v>
      </c>
      <c r="J30">
        <v>84</v>
      </c>
      <c r="K30">
        <v>115</v>
      </c>
      <c r="L30">
        <v>112</v>
      </c>
      <c r="M30">
        <v>115</v>
      </c>
      <c r="N30">
        <v>112</v>
      </c>
    </row>
    <row r="31" spans="1:16">
      <c r="A31">
        <v>22</v>
      </c>
      <c r="B31" s="68">
        <v>43434</v>
      </c>
      <c r="C31" t="s">
        <v>244</v>
      </c>
      <c r="D31" t="s">
        <v>263</v>
      </c>
      <c r="E31">
        <v>26</v>
      </c>
      <c r="F31">
        <v>38</v>
      </c>
      <c r="G31">
        <v>53</v>
      </c>
      <c r="H31">
        <v>68</v>
      </c>
      <c r="I31">
        <v>85</v>
      </c>
      <c r="J31">
        <v>91</v>
      </c>
      <c r="K31">
        <v>112</v>
      </c>
      <c r="L31">
        <v>113</v>
      </c>
      <c r="M31">
        <v>112</v>
      </c>
      <c r="N31">
        <v>113</v>
      </c>
    </row>
    <row r="32" spans="1:16">
      <c r="A32">
        <v>25</v>
      </c>
      <c r="B32" s="68">
        <v>43440</v>
      </c>
      <c r="C32" t="s">
        <v>244</v>
      </c>
      <c r="D32" t="s">
        <v>266</v>
      </c>
      <c r="E32">
        <v>34</v>
      </c>
      <c r="F32">
        <v>9</v>
      </c>
      <c r="G32">
        <v>62</v>
      </c>
      <c r="H32">
        <v>41</v>
      </c>
      <c r="I32">
        <v>87</v>
      </c>
      <c r="J32">
        <v>59</v>
      </c>
      <c r="K32">
        <v>108</v>
      </c>
      <c r="L32">
        <v>86</v>
      </c>
      <c r="M32">
        <v>108</v>
      </c>
      <c r="N32">
        <v>86</v>
      </c>
    </row>
    <row r="33" spans="1:16">
      <c r="A33">
        <v>26</v>
      </c>
      <c r="B33" s="68">
        <v>43442</v>
      </c>
      <c r="C33" t="s">
        <v>244</v>
      </c>
      <c r="D33" t="s">
        <v>259</v>
      </c>
      <c r="E33">
        <v>30</v>
      </c>
      <c r="F33">
        <v>27</v>
      </c>
      <c r="G33">
        <v>53</v>
      </c>
      <c r="H33">
        <v>51</v>
      </c>
      <c r="I33">
        <v>81</v>
      </c>
      <c r="J33">
        <v>80</v>
      </c>
      <c r="K33">
        <v>113</v>
      </c>
      <c r="L33">
        <v>105</v>
      </c>
      <c r="M33">
        <v>113</v>
      </c>
      <c r="N33">
        <v>105</v>
      </c>
    </row>
    <row r="34" spans="1:16">
      <c r="A34">
        <v>29</v>
      </c>
      <c r="B34" s="68">
        <v>43448</v>
      </c>
      <c r="C34" t="s">
        <v>244</v>
      </c>
      <c r="D34" t="s">
        <v>256</v>
      </c>
      <c r="E34">
        <v>28</v>
      </c>
      <c r="F34">
        <v>23</v>
      </c>
      <c r="G34">
        <v>58</v>
      </c>
      <c r="H34">
        <v>50</v>
      </c>
      <c r="I34">
        <v>91</v>
      </c>
      <c r="J34">
        <v>89</v>
      </c>
      <c r="K34">
        <v>128</v>
      </c>
      <c r="L34">
        <v>122</v>
      </c>
      <c r="M34">
        <v>128</v>
      </c>
      <c r="N34">
        <v>122</v>
      </c>
    </row>
    <row r="35" spans="1:16">
      <c r="A35">
        <v>31</v>
      </c>
      <c r="B35" s="68">
        <v>43453</v>
      </c>
      <c r="C35" t="s">
        <v>244</v>
      </c>
      <c r="D35" t="s">
        <v>249</v>
      </c>
      <c r="E35">
        <v>17</v>
      </c>
      <c r="F35">
        <v>18</v>
      </c>
      <c r="G35">
        <v>47</v>
      </c>
      <c r="H35">
        <v>52</v>
      </c>
      <c r="I35">
        <v>74</v>
      </c>
      <c r="J35">
        <v>71</v>
      </c>
      <c r="K35">
        <v>99</v>
      </c>
      <c r="L35">
        <v>92</v>
      </c>
      <c r="M35">
        <v>99</v>
      </c>
      <c r="N35">
        <v>92</v>
      </c>
    </row>
    <row r="36" spans="1:16">
      <c r="A36">
        <v>32</v>
      </c>
      <c r="B36" s="68">
        <v>43455</v>
      </c>
      <c r="C36" t="s">
        <v>244</v>
      </c>
      <c r="D36" t="s">
        <v>261</v>
      </c>
      <c r="E36">
        <v>26</v>
      </c>
      <c r="F36">
        <v>33</v>
      </c>
      <c r="G36">
        <v>49</v>
      </c>
      <c r="H36">
        <v>55</v>
      </c>
      <c r="I36">
        <v>68</v>
      </c>
      <c r="J36">
        <v>83</v>
      </c>
      <c r="K36">
        <v>90</v>
      </c>
      <c r="L36">
        <v>120</v>
      </c>
      <c r="M36">
        <v>90</v>
      </c>
      <c r="N36">
        <v>120</v>
      </c>
    </row>
    <row r="37" spans="1:16">
      <c r="A37">
        <v>33</v>
      </c>
      <c r="B37" s="68">
        <v>43457</v>
      </c>
      <c r="C37" t="s">
        <v>244</v>
      </c>
      <c r="D37" t="s">
        <v>265</v>
      </c>
      <c r="E37">
        <v>25</v>
      </c>
      <c r="F37">
        <v>27</v>
      </c>
      <c r="G37">
        <v>62</v>
      </c>
      <c r="H37">
        <v>52</v>
      </c>
      <c r="I37">
        <v>88</v>
      </c>
      <c r="J37">
        <v>80</v>
      </c>
      <c r="K37">
        <v>107</v>
      </c>
      <c r="L37">
        <v>107</v>
      </c>
      <c r="M37">
        <v>121</v>
      </c>
      <c r="N37">
        <v>118</v>
      </c>
      <c r="O37">
        <v>121</v>
      </c>
      <c r="P37">
        <v>118</v>
      </c>
    </row>
    <row r="38" spans="1:16">
      <c r="A38">
        <v>36</v>
      </c>
      <c r="B38" s="68">
        <v>43463</v>
      </c>
      <c r="C38" t="s">
        <v>244</v>
      </c>
      <c r="D38" t="s">
        <v>242</v>
      </c>
      <c r="E38">
        <v>27</v>
      </c>
      <c r="F38">
        <v>30</v>
      </c>
      <c r="G38">
        <v>50</v>
      </c>
      <c r="H38">
        <v>58</v>
      </c>
      <c r="I38">
        <v>83</v>
      </c>
      <c r="J38">
        <v>93</v>
      </c>
      <c r="K38">
        <v>105</v>
      </c>
      <c r="L38">
        <v>115</v>
      </c>
      <c r="M38">
        <v>105</v>
      </c>
      <c r="N38">
        <v>115</v>
      </c>
    </row>
    <row r="39" spans="1:16">
      <c r="A39">
        <v>37</v>
      </c>
      <c r="B39" s="68">
        <v>43464</v>
      </c>
      <c r="C39" t="s">
        <v>244</v>
      </c>
      <c r="D39" t="s">
        <v>239</v>
      </c>
      <c r="E39">
        <v>31</v>
      </c>
      <c r="F39">
        <v>20</v>
      </c>
      <c r="G39">
        <v>70</v>
      </c>
      <c r="H39">
        <v>41</v>
      </c>
      <c r="I39">
        <v>106</v>
      </c>
      <c r="J39">
        <v>67</v>
      </c>
      <c r="K39">
        <v>129</v>
      </c>
      <c r="L39">
        <v>95</v>
      </c>
      <c r="M39">
        <v>129</v>
      </c>
      <c r="N39">
        <v>95</v>
      </c>
    </row>
  </sheetData>
  <sortState xmlns:xlrd2="http://schemas.microsoft.com/office/spreadsheetml/2017/richdata2" ref="A2:R65">
    <sortCondition ref="C1"/>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A1:R37"/>
  <sheetViews>
    <sheetView topLeftCell="M1" workbookViewId="0">
      <selection activeCell="S1" sqref="S1"/>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36328125" customWidth="1"/>
    <col min="20" max="20" width="20.6328125" customWidth="1"/>
    <col min="21" max="21" width="23.36328125" customWidth="1"/>
    <col min="22" max="22" width="19.54296875" customWidth="1"/>
    <col min="23" max="24" width="23.54296875" customWidth="1"/>
    <col min="25" max="25" width="23.90625" customWidth="1"/>
    <col min="26" max="26" width="22.1796875" customWidth="1"/>
    <col min="27" max="27" width="25.542968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43390</v>
      </c>
      <c r="C2" t="s">
        <v>243</v>
      </c>
      <c r="D2" t="s">
        <v>252</v>
      </c>
      <c r="E2">
        <v>31</v>
      </c>
      <c r="F2">
        <v>25</v>
      </c>
      <c r="G2">
        <v>51</v>
      </c>
      <c r="H2">
        <v>54</v>
      </c>
      <c r="I2">
        <v>78</v>
      </c>
      <c r="J2">
        <v>79</v>
      </c>
      <c r="K2">
        <v>101</v>
      </c>
      <c r="L2">
        <v>104</v>
      </c>
      <c r="M2">
        <v>101</v>
      </c>
      <c r="N2">
        <v>104</v>
      </c>
    </row>
    <row r="3" spans="1:18">
      <c r="A3">
        <v>2</v>
      </c>
      <c r="B3" s="68">
        <v>43391</v>
      </c>
      <c r="C3" t="s">
        <v>243</v>
      </c>
      <c r="D3" t="s">
        <v>268</v>
      </c>
      <c r="E3">
        <v>24</v>
      </c>
      <c r="F3">
        <v>25</v>
      </c>
      <c r="G3">
        <v>58</v>
      </c>
      <c r="H3">
        <v>59</v>
      </c>
      <c r="I3">
        <v>85</v>
      </c>
      <c r="J3">
        <v>89</v>
      </c>
      <c r="K3">
        <v>113</v>
      </c>
      <c r="L3">
        <v>112</v>
      </c>
      <c r="M3">
        <v>113</v>
      </c>
      <c r="N3">
        <v>112</v>
      </c>
    </row>
    <row r="4" spans="1:18">
      <c r="A4">
        <v>7</v>
      </c>
      <c r="B4" s="68">
        <v>43403</v>
      </c>
      <c r="C4" t="s">
        <v>243</v>
      </c>
      <c r="D4" t="s">
        <v>246</v>
      </c>
      <c r="E4">
        <v>29</v>
      </c>
      <c r="F4">
        <v>31</v>
      </c>
      <c r="G4">
        <v>55</v>
      </c>
      <c r="H4">
        <v>65</v>
      </c>
      <c r="I4">
        <v>73</v>
      </c>
      <c r="J4">
        <v>92</v>
      </c>
      <c r="K4">
        <v>113</v>
      </c>
      <c r="L4">
        <v>125</v>
      </c>
      <c r="M4">
        <v>113</v>
      </c>
      <c r="N4">
        <v>125</v>
      </c>
    </row>
    <row r="5" spans="1:18">
      <c r="A5">
        <v>8</v>
      </c>
      <c r="B5" s="68">
        <v>43407</v>
      </c>
      <c r="C5" t="s">
        <v>243</v>
      </c>
      <c r="D5" t="s">
        <v>253</v>
      </c>
      <c r="E5">
        <v>31</v>
      </c>
      <c r="F5">
        <v>41</v>
      </c>
      <c r="G5">
        <v>68</v>
      </c>
      <c r="H5">
        <v>74</v>
      </c>
      <c r="I5">
        <v>93</v>
      </c>
      <c r="J5">
        <v>102</v>
      </c>
      <c r="K5">
        <v>118</v>
      </c>
      <c r="L5">
        <v>123</v>
      </c>
      <c r="M5">
        <v>118</v>
      </c>
      <c r="N5">
        <v>123</v>
      </c>
    </row>
    <row r="6" spans="1:18">
      <c r="A6">
        <v>9</v>
      </c>
      <c r="B6" s="68">
        <v>43409</v>
      </c>
      <c r="C6" t="s">
        <v>243</v>
      </c>
      <c r="D6" t="s">
        <v>248</v>
      </c>
      <c r="E6">
        <v>28</v>
      </c>
      <c r="F6">
        <v>27</v>
      </c>
      <c r="G6">
        <v>53</v>
      </c>
      <c r="H6">
        <v>53</v>
      </c>
      <c r="I6">
        <v>87</v>
      </c>
      <c r="J6">
        <v>80</v>
      </c>
      <c r="K6">
        <v>105</v>
      </c>
      <c r="L6">
        <v>105</v>
      </c>
      <c r="M6">
        <v>120</v>
      </c>
      <c r="N6">
        <v>115</v>
      </c>
      <c r="O6">
        <v>120</v>
      </c>
      <c r="P6">
        <v>115</v>
      </c>
    </row>
    <row r="7" spans="1:18">
      <c r="A7">
        <v>14</v>
      </c>
      <c r="B7" s="68">
        <v>43418</v>
      </c>
      <c r="C7" t="s">
        <v>243</v>
      </c>
      <c r="D7" t="s">
        <v>247</v>
      </c>
      <c r="E7">
        <v>37</v>
      </c>
      <c r="F7">
        <v>21</v>
      </c>
      <c r="G7">
        <v>61</v>
      </c>
      <c r="H7">
        <v>49</v>
      </c>
      <c r="I7">
        <v>90</v>
      </c>
      <c r="J7">
        <v>72</v>
      </c>
      <c r="K7">
        <v>120</v>
      </c>
      <c r="L7">
        <v>107</v>
      </c>
      <c r="M7">
        <v>120</v>
      </c>
      <c r="N7">
        <v>107</v>
      </c>
    </row>
    <row r="8" spans="1:18">
      <c r="A8">
        <v>15</v>
      </c>
      <c r="B8" s="68">
        <v>43420</v>
      </c>
      <c r="C8" t="s">
        <v>243</v>
      </c>
      <c r="D8" t="s">
        <v>250</v>
      </c>
      <c r="E8">
        <v>27</v>
      </c>
      <c r="F8">
        <v>18</v>
      </c>
      <c r="G8">
        <v>43</v>
      </c>
      <c r="H8">
        <v>50</v>
      </c>
      <c r="I8">
        <v>67</v>
      </c>
      <c r="J8">
        <v>72</v>
      </c>
      <c r="K8">
        <v>91</v>
      </c>
      <c r="L8">
        <v>99</v>
      </c>
      <c r="M8">
        <v>91</v>
      </c>
      <c r="N8">
        <v>99</v>
      </c>
    </row>
    <row r="9" spans="1:18">
      <c r="A9">
        <v>18</v>
      </c>
      <c r="B9" s="68">
        <v>43427</v>
      </c>
      <c r="C9" t="s">
        <v>243</v>
      </c>
      <c r="D9" t="s">
        <v>267</v>
      </c>
      <c r="E9">
        <v>28</v>
      </c>
      <c r="F9">
        <v>26</v>
      </c>
      <c r="G9">
        <v>60</v>
      </c>
      <c r="H9">
        <v>39</v>
      </c>
      <c r="I9">
        <v>78</v>
      </c>
      <c r="J9">
        <v>69</v>
      </c>
      <c r="K9">
        <v>103</v>
      </c>
      <c r="L9">
        <v>96</v>
      </c>
      <c r="M9">
        <v>103</v>
      </c>
      <c r="N9">
        <v>96</v>
      </c>
    </row>
    <row r="10" spans="1:18">
      <c r="A10">
        <v>19</v>
      </c>
      <c r="B10" s="68">
        <v>43429</v>
      </c>
      <c r="C10" t="s">
        <v>243</v>
      </c>
      <c r="D10" t="s">
        <v>256</v>
      </c>
      <c r="E10">
        <v>29</v>
      </c>
      <c r="F10">
        <v>36</v>
      </c>
      <c r="G10">
        <v>54</v>
      </c>
      <c r="H10">
        <v>63</v>
      </c>
      <c r="I10">
        <v>89</v>
      </c>
      <c r="J10">
        <v>101</v>
      </c>
      <c r="K10">
        <v>115</v>
      </c>
      <c r="L10">
        <v>125</v>
      </c>
      <c r="M10">
        <v>115</v>
      </c>
      <c r="N10">
        <v>125</v>
      </c>
    </row>
    <row r="11" spans="1:18">
      <c r="A11">
        <v>24</v>
      </c>
      <c r="B11" s="68">
        <v>43441</v>
      </c>
      <c r="C11" t="s">
        <v>243</v>
      </c>
      <c r="D11" t="s">
        <v>266</v>
      </c>
      <c r="E11">
        <v>34</v>
      </c>
      <c r="F11">
        <v>36</v>
      </c>
      <c r="G11">
        <v>60</v>
      </c>
      <c r="H11">
        <v>50</v>
      </c>
      <c r="I11">
        <v>89</v>
      </c>
      <c r="J11">
        <v>73</v>
      </c>
      <c r="K11">
        <v>115</v>
      </c>
      <c r="L11">
        <v>98</v>
      </c>
      <c r="M11">
        <v>115</v>
      </c>
      <c r="N11">
        <v>98</v>
      </c>
    </row>
    <row r="12" spans="1:18">
      <c r="A12">
        <v>25</v>
      </c>
      <c r="B12" s="68">
        <v>43442</v>
      </c>
      <c r="C12" t="s">
        <v>243</v>
      </c>
      <c r="D12" t="s">
        <v>264</v>
      </c>
      <c r="E12">
        <v>34</v>
      </c>
      <c r="F12">
        <v>30</v>
      </c>
      <c r="G12">
        <v>65</v>
      </c>
      <c r="H12">
        <v>62</v>
      </c>
      <c r="I12">
        <v>91</v>
      </c>
      <c r="J12">
        <v>90</v>
      </c>
      <c r="K12">
        <v>121</v>
      </c>
      <c r="L12">
        <v>98</v>
      </c>
      <c r="M12">
        <v>121</v>
      </c>
      <c r="N12">
        <v>98</v>
      </c>
    </row>
    <row r="13" spans="1:18">
      <c r="A13">
        <v>26</v>
      </c>
      <c r="B13" s="68">
        <v>43444</v>
      </c>
      <c r="C13" t="s">
        <v>243</v>
      </c>
      <c r="D13" t="s">
        <v>269</v>
      </c>
      <c r="E13">
        <v>23</v>
      </c>
      <c r="F13">
        <v>27</v>
      </c>
      <c r="G13">
        <v>58</v>
      </c>
      <c r="H13">
        <v>55</v>
      </c>
      <c r="I13">
        <v>83</v>
      </c>
      <c r="J13">
        <v>84</v>
      </c>
      <c r="K13">
        <v>105</v>
      </c>
      <c r="L13">
        <v>108</v>
      </c>
      <c r="M13">
        <v>105</v>
      </c>
      <c r="N13">
        <v>108</v>
      </c>
    </row>
    <row r="14" spans="1:18">
      <c r="A14">
        <v>27</v>
      </c>
      <c r="B14" s="68">
        <v>43446</v>
      </c>
      <c r="C14" t="s">
        <v>243</v>
      </c>
      <c r="D14" t="s">
        <v>261</v>
      </c>
      <c r="E14">
        <v>15</v>
      </c>
      <c r="F14">
        <v>40</v>
      </c>
      <c r="G14">
        <v>33</v>
      </c>
      <c r="H14">
        <v>60</v>
      </c>
      <c r="I14">
        <v>53</v>
      </c>
      <c r="J14">
        <v>92</v>
      </c>
      <c r="K14">
        <v>84</v>
      </c>
      <c r="L14">
        <v>111</v>
      </c>
      <c r="M14">
        <v>84</v>
      </c>
      <c r="N14">
        <v>111</v>
      </c>
    </row>
    <row r="15" spans="1:18">
      <c r="A15">
        <v>28</v>
      </c>
      <c r="B15" s="68">
        <v>43448</v>
      </c>
      <c r="C15" t="s">
        <v>243</v>
      </c>
      <c r="D15" t="s">
        <v>249</v>
      </c>
      <c r="E15">
        <v>29</v>
      </c>
      <c r="F15">
        <v>28</v>
      </c>
      <c r="G15">
        <v>51</v>
      </c>
      <c r="H15">
        <v>49</v>
      </c>
      <c r="I15">
        <v>71</v>
      </c>
      <c r="J15">
        <v>73</v>
      </c>
      <c r="K15">
        <v>100</v>
      </c>
      <c r="L15">
        <v>97</v>
      </c>
      <c r="M15">
        <v>100</v>
      </c>
      <c r="N15">
        <v>97</v>
      </c>
    </row>
    <row r="16" spans="1:18">
      <c r="A16">
        <v>29</v>
      </c>
      <c r="B16" s="68">
        <v>43450</v>
      </c>
      <c r="C16" t="s">
        <v>243</v>
      </c>
      <c r="D16" t="s">
        <v>257</v>
      </c>
      <c r="E16">
        <v>33</v>
      </c>
      <c r="F16">
        <v>28</v>
      </c>
      <c r="G16">
        <v>57</v>
      </c>
      <c r="H16">
        <v>51</v>
      </c>
      <c r="I16">
        <v>85</v>
      </c>
      <c r="J16">
        <v>73</v>
      </c>
      <c r="K16">
        <v>102</v>
      </c>
      <c r="L16">
        <v>96</v>
      </c>
      <c r="M16">
        <v>102</v>
      </c>
      <c r="N16">
        <v>96</v>
      </c>
    </row>
    <row r="17" spans="1:14">
      <c r="A17">
        <v>32</v>
      </c>
      <c r="B17" s="68">
        <v>43457</v>
      </c>
      <c r="C17" t="s">
        <v>243</v>
      </c>
      <c r="D17" t="s">
        <v>252</v>
      </c>
      <c r="E17">
        <v>28</v>
      </c>
      <c r="F17">
        <v>17</v>
      </c>
      <c r="G17">
        <v>53</v>
      </c>
      <c r="H17">
        <v>44</v>
      </c>
      <c r="I17">
        <v>90</v>
      </c>
      <c r="J17">
        <v>71</v>
      </c>
      <c r="K17">
        <v>115</v>
      </c>
      <c r="L17">
        <v>91</v>
      </c>
      <c r="M17">
        <v>115</v>
      </c>
      <c r="N17">
        <v>91</v>
      </c>
    </row>
    <row r="18" spans="1:14">
      <c r="A18">
        <v>36</v>
      </c>
      <c r="B18" s="68">
        <v>43467</v>
      </c>
      <c r="C18" t="s">
        <v>243</v>
      </c>
      <c r="D18" t="s">
        <v>255</v>
      </c>
      <c r="E18">
        <v>22</v>
      </c>
      <c r="F18">
        <v>23</v>
      </c>
      <c r="G18">
        <v>58</v>
      </c>
      <c r="H18">
        <v>43</v>
      </c>
      <c r="I18">
        <v>93</v>
      </c>
      <c r="J18">
        <v>73</v>
      </c>
      <c r="K18">
        <v>117</v>
      </c>
      <c r="L18">
        <v>92</v>
      </c>
      <c r="M18">
        <v>117</v>
      </c>
      <c r="N18">
        <v>92</v>
      </c>
    </row>
    <row r="19" spans="1:14">
      <c r="A19">
        <v>3</v>
      </c>
      <c r="B19" s="68">
        <v>43393</v>
      </c>
      <c r="C19" t="s">
        <v>244</v>
      </c>
      <c r="D19" t="s">
        <v>246</v>
      </c>
      <c r="E19">
        <v>29</v>
      </c>
      <c r="F19">
        <v>34</v>
      </c>
      <c r="G19">
        <v>52</v>
      </c>
      <c r="H19">
        <v>72</v>
      </c>
      <c r="I19">
        <v>82</v>
      </c>
      <c r="J19">
        <v>92</v>
      </c>
      <c r="K19">
        <v>112</v>
      </c>
      <c r="L19">
        <v>113</v>
      </c>
      <c r="M19">
        <v>112</v>
      </c>
      <c r="N19">
        <v>113</v>
      </c>
    </row>
    <row r="20" spans="1:14">
      <c r="A20">
        <v>4</v>
      </c>
      <c r="B20" s="68">
        <v>43397</v>
      </c>
      <c r="C20" t="s">
        <v>244</v>
      </c>
      <c r="D20" t="s">
        <v>254</v>
      </c>
      <c r="E20">
        <v>16</v>
      </c>
      <c r="F20">
        <v>27</v>
      </c>
      <c r="G20">
        <v>47</v>
      </c>
      <c r="H20">
        <v>45</v>
      </c>
      <c r="I20">
        <v>92</v>
      </c>
      <c r="J20">
        <v>65</v>
      </c>
      <c r="K20">
        <v>110</v>
      </c>
      <c r="L20">
        <v>87</v>
      </c>
      <c r="M20">
        <v>110</v>
      </c>
      <c r="N20">
        <v>87</v>
      </c>
    </row>
    <row r="21" spans="1:14">
      <c r="A21">
        <v>5</v>
      </c>
      <c r="B21" s="68">
        <v>43400</v>
      </c>
      <c r="C21" t="s">
        <v>244</v>
      </c>
      <c r="D21" t="s">
        <v>270</v>
      </c>
      <c r="E21">
        <v>33</v>
      </c>
      <c r="F21">
        <v>22</v>
      </c>
      <c r="G21">
        <v>57</v>
      </c>
      <c r="H21">
        <v>42</v>
      </c>
      <c r="I21">
        <v>89</v>
      </c>
      <c r="J21">
        <v>79</v>
      </c>
      <c r="K21">
        <v>120</v>
      </c>
      <c r="L21">
        <v>111</v>
      </c>
      <c r="M21">
        <v>120</v>
      </c>
      <c r="N21">
        <v>111</v>
      </c>
    </row>
    <row r="22" spans="1:14">
      <c r="A22">
        <v>6</v>
      </c>
      <c r="B22" s="68">
        <v>43402</v>
      </c>
      <c r="C22" t="s">
        <v>244</v>
      </c>
      <c r="D22" t="s">
        <v>262</v>
      </c>
      <c r="E22">
        <v>28</v>
      </c>
      <c r="F22">
        <v>17</v>
      </c>
      <c r="G22">
        <v>51</v>
      </c>
      <c r="H22">
        <v>51</v>
      </c>
      <c r="I22">
        <v>83</v>
      </c>
      <c r="J22">
        <v>94</v>
      </c>
      <c r="K22">
        <v>113</v>
      </c>
      <c r="L22">
        <v>123</v>
      </c>
      <c r="M22">
        <v>113</v>
      </c>
      <c r="N22">
        <v>123</v>
      </c>
    </row>
    <row r="23" spans="1:14">
      <c r="A23">
        <v>10</v>
      </c>
      <c r="B23" s="68">
        <v>43411</v>
      </c>
      <c r="C23" t="s">
        <v>244</v>
      </c>
      <c r="D23" t="s">
        <v>260</v>
      </c>
      <c r="E23">
        <v>27</v>
      </c>
      <c r="F23">
        <v>20</v>
      </c>
      <c r="G23">
        <v>50</v>
      </c>
      <c r="H23">
        <v>42</v>
      </c>
      <c r="I23">
        <v>75</v>
      </c>
      <c r="J23">
        <v>64</v>
      </c>
      <c r="K23">
        <v>95</v>
      </c>
      <c r="L23">
        <v>88</v>
      </c>
      <c r="M23">
        <v>95</v>
      </c>
      <c r="N23">
        <v>88</v>
      </c>
    </row>
    <row r="24" spans="1:14">
      <c r="A24">
        <v>11</v>
      </c>
      <c r="B24" s="68">
        <v>43413</v>
      </c>
      <c r="C24" t="s">
        <v>244</v>
      </c>
      <c r="D24" t="s">
        <v>250</v>
      </c>
      <c r="E24">
        <v>26</v>
      </c>
      <c r="F24">
        <v>24</v>
      </c>
      <c r="G24">
        <v>59</v>
      </c>
      <c r="H24">
        <v>51</v>
      </c>
      <c r="I24">
        <v>80</v>
      </c>
      <c r="J24">
        <v>84</v>
      </c>
      <c r="K24">
        <v>102</v>
      </c>
      <c r="L24">
        <v>110</v>
      </c>
      <c r="M24">
        <v>102</v>
      </c>
      <c r="N24">
        <v>110</v>
      </c>
    </row>
    <row r="25" spans="1:14">
      <c r="A25">
        <v>12</v>
      </c>
      <c r="B25" s="68">
        <v>43414</v>
      </c>
      <c r="C25" t="s">
        <v>244</v>
      </c>
      <c r="D25" t="s">
        <v>268</v>
      </c>
      <c r="E25">
        <v>35</v>
      </c>
      <c r="F25">
        <v>25</v>
      </c>
      <c r="G25">
        <v>61</v>
      </c>
      <c r="H25">
        <v>58</v>
      </c>
      <c r="I25">
        <v>85</v>
      </c>
      <c r="J25">
        <v>83</v>
      </c>
      <c r="K25">
        <v>110</v>
      </c>
      <c r="L25">
        <v>116</v>
      </c>
      <c r="M25">
        <v>110</v>
      </c>
      <c r="N25">
        <v>116</v>
      </c>
    </row>
    <row r="26" spans="1:14">
      <c r="A26">
        <v>13</v>
      </c>
      <c r="B26" s="68">
        <v>43416</v>
      </c>
      <c r="C26" t="s">
        <v>244</v>
      </c>
      <c r="D26" t="s">
        <v>239</v>
      </c>
      <c r="E26">
        <v>26</v>
      </c>
      <c r="F26">
        <v>32</v>
      </c>
      <c r="G26">
        <v>62</v>
      </c>
      <c r="H26">
        <v>64</v>
      </c>
      <c r="I26">
        <v>90</v>
      </c>
      <c r="J26">
        <v>96</v>
      </c>
      <c r="K26">
        <v>114</v>
      </c>
      <c r="L26">
        <v>124</v>
      </c>
      <c r="M26">
        <v>114</v>
      </c>
      <c r="N26">
        <v>124</v>
      </c>
    </row>
    <row r="27" spans="1:14">
      <c r="A27">
        <v>16</v>
      </c>
      <c r="B27" s="68">
        <v>43422</v>
      </c>
      <c r="C27" t="s">
        <v>244</v>
      </c>
      <c r="D27" t="s">
        <v>269</v>
      </c>
      <c r="E27">
        <v>21</v>
      </c>
      <c r="F27">
        <v>34</v>
      </c>
      <c r="G27">
        <v>52</v>
      </c>
      <c r="H27">
        <v>67</v>
      </c>
      <c r="I27">
        <v>76</v>
      </c>
      <c r="J27">
        <v>92</v>
      </c>
      <c r="K27">
        <v>97</v>
      </c>
      <c r="L27">
        <v>113</v>
      </c>
      <c r="M27">
        <v>97</v>
      </c>
      <c r="N27">
        <v>113</v>
      </c>
    </row>
    <row r="28" spans="1:14">
      <c r="A28">
        <v>17</v>
      </c>
      <c r="B28" s="68">
        <v>43424</v>
      </c>
      <c r="C28" t="s">
        <v>244</v>
      </c>
      <c r="D28" t="s">
        <v>247</v>
      </c>
      <c r="E28">
        <v>13</v>
      </c>
      <c r="F28">
        <v>20</v>
      </c>
      <c r="G28">
        <v>42</v>
      </c>
      <c r="H28">
        <v>39</v>
      </c>
      <c r="I28">
        <v>77</v>
      </c>
      <c r="J28">
        <v>74</v>
      </c>
      <c r="K28">
        <v>92</v>
      </c>
      <c r="L28">
        <v>104</v>
      </c>
      <c r="M28">
        <v>92</v>
      </c>
      <c r="N28">
        <v>104</v>
      </c>
    </row>
    <row r="29" spans="1:14">
      <c r="A29">
        <v>20</v>
      </c>
      <c r="B29" s="68">
        <v>43431</v>
      </c>
      <c r="C29" t="s">
        <v>244</v>
      </c>
      <c r="D29" t="s">
        <v>253</v>
      </c>
      <c r="E29">
        <v>38</v>
      </c>
      <c r="F29">
        <v>35</v>
      </c>
      <c r="G29">
        <v>52</v>
      </c>
      <c r="H29">
        <v>68</v>
      </c>
      <c r="I29">
        <v>86</v>
      </c>
      <c r="J29">
        <v>100</v>
      </c>
      <c r="K29">
        <v>113</v>
      </c>
      <c r="L29">
        <v>115</v>
      </c>
      <c r="M29">
        <v>113</v>
      </c>
      <c r="N29">
        <v>115</v>
      </c>
    </row>
    <row r="30" spans="1:14">
      <c r="A30">
        <v>21</v>
      </c>
      <c r="B30" s="68">
        <v>43434</v>
      </c>
      <c r="C30" t="s">
        <v>244</v>
      </c>
      <c r="D30" t="s">
        <v>257</v>
      </c>
      <c r="E30">
        <v>37</v>
      </c>
      <c r="F30">
        <v>17</v>
      </c>
      <c r="G30">
        <v>61</v>
      </c>
      <c r="H30">
        <v>41</v>
      </c>
      <c r="I30">
        <v>81</v>
      </c>
      <c r="J30">
        <v>75</v>
      </c>
      <c r="K30">
        <v>106</v>
      </c>
      <c r="L30">
        <v>101</v>
      </c>
      <c r="M30">
        <v>106</v>
      </c>
      <c r="N30">
        <v>101</v>
      </c>
    </row>
    <row r="31" spans="1:14">
      <c r="A31">
        <v>22</v>
      </c>
      <c r="B31" s="68">
        <v>43436</v>
      </c>
      <c r="C31" t="s">
        <v>244</v>
      </c>
      <c r="D31" t="s">
        <v>261</v>
      </c>
      <c r="E31">
        <v>27</v>
      </c>
      <c r="F31">
        <v>35</v>
      </c>
      <c r="G31">
        <v>53</v>
      </c>
      <c r="H31">
        <v>55</v>
      </c>
      <c r="I31">
        <v>80</v>
      </c>
      <c r="J31">
        <v>77</v>
      </c>
      <c r="K31">
        <v>102</v>
      </c>
      <c r="L31">
        <v>100</v>
      </c>
      <c r="M31">
        <v>102</v>
      </c>
      <c r="N31">
        <v>100</v>
      </c>
    </row>
    <row r="32" spans="1:14">
      <c r="A32">
        <v>23</v>
      </c>
      <c r="B32" s="68">
        <v>43438</v>
      </c>
      <c r="C32" t="s">
        <v>244</v>
      </c>
      <c r="D32" t="s">
        <v>252</v>
      </c>
      <c r="E32">
        <v>25</v>
      </c>
      <c r="F32">
        <v>27</v>
      </c>
      <c r="G32">
        <v>50</v>
      </c>
      <c r="H32">
        <v>46</v>
      </c>
      <c r="I32">
        <v>62</v>
      </c>
      <c r="J32">
        <v>76</v>
      </c>
      <c r="K32">
        <v>90</v>
      </c>
      <c r="L32">
        <v>105</v>
      </c>
      <c r="M32">
        <v>90</v>
      </c>
      <c r="N32">
        <v>105</v>
      </c>
    </row>
    <row r="33" spans="1:14">
      <c r="A33">
        <v>30</v>
      </c>
      <c r="B33" s="68">
        <v>43454</v>
      </c>
      <c r="C33" t="s">
        <v>244</v>
      </c>
      <c r="D33" t="s">
        <v>258</v>
      </c>
      <c r="E33">
        <v>21</v>
      </c>
      <c r="F33">
        <v>33</v>
      </c>
      <c r="G33">
        <v>53</v>
      </c>
      <c r="H33">
        <v>58</v>
      </c>
      <c r="I33">
        <v>82</v>
      </c>
      <c r="J33">
        <v>76</v>
      </c>
      <c r="K33">
        <v>101</v>
      </c>
      <c r="L33">
        <v>99</v>
      </c>
      <c r="M33">
        <v>101</v>
      </c>
      <c r="N33">
        <v>99</v>
      </c>
    </row>
    <row r="34" spans="1:14">
      <c r="A34">
        <v>31</v>
      </c>
      <c r="B34" s="68">
        <v>43456</v>
      </c>
      <c r="C34" t="s">
        <v>244</v>
      </c>
      <c r="D34" t="s">
        <v>245</v>
      </c>
      <c r="E34">
        <v>21</v>
      </c>
      <c r="F34">
        <v>8</v>
      </c>
      <c r="G34">
        <v>37</v>
      </c>
      <c r="H34">
        <v>38</v>
      </c>
      <c r="I34">
        <v>72</v>
      </c>
      <c r="J34">
        <v>58</v>
      </c>
      <c r="K34">
        <v>94</v>
      </c>
      <c r="L34">
        <v>87</v>
      </c>
      <c r="M34">
        <v>94</v>
      </c>
      <c r="N34">
        <v>87</v>
      </c>
    </row>
    <row r="35" spans="1:14">
      <c r="A35">
        <v>33</v>
      </c>
      <c r="B35" s="68">
        <v>43460</v>
      </c>
      <c r="C35" t="s">
        <v>244</v>
      </c>
      <c r="D35" t="s">
        <v>256</v>
      </c>
      <c r="E35">
        <v>31</v>
      </c>
      <c r="F35">
        <v>23</v>
      </c>
      <c r="G35">
        <v>58</v>
      </c>
      <c r="H35">
        <v>44</v>
      </c>
      <c r="I35">
        <v>79</v>
      </c>
      <c r="J35">
        <v>81</v>
      </c>
      <c r="K35">
        <v>104</v>
      </c>
      <c r="L35">
        <v>106</v>
      </c>
      <c r="M35">
        <v>104</v>
      </c>
      <c r="N35">
        <v>106</v>
      </c>
    </row>
    <row r="36" spans="1:14">
      <c r="A36">
        <v>34</v>
      </c>
      <c r="B36" s="68">
        <v>43462</v>
      </c>
      <c r="C36" t="s">
        <v>244</v>
      </c>
      <c r="D36" t="s">
        <v>255</v>
      </c>
      <c r="E36">
        <v>29</v>
      </c>
      <c r="F36">
        <v>30</v>
      </c>
      <c r="G36">
        <v>56</v>
      </c>
      <c r="H36">
        <v>52</v>
      </c>
      <c r="I36">
        <v>82</v>
      </c>
      <c r="J36">
        <v>69</v>
      </c>
      <c r="K36">
        <v>118</v>
      </c>
      <c r="L36">
        <v>94</v>
      </c>
      <c r="M36">
        <v>118</v>
      </c>
      <c r="N36">
        <v>94</v>
      </c>
    </row>
    <row r="37" spans="1:14">
      <c r="A37">
        <v>35</v>
      </c>
      <c r="B37" s="68">
        <v>43464</v>
      </c>
      <c r="C37" t="s">
        <v>244</v>
      </c>
      <c r="D37" t="s">
        <v>259</v>
      </c>
      <c r="E37">
        <v>19</v>
      </c>
      <c r="F37">
        <v>30</v>
      </c>
      <c r="G37">
        <v>54</v>
      </c>
      <c r="H37">
        <v>55</v>
      </c>
      <c r="I37">
        <v>77</v>
      </c>
      <c r="J37">
        <v>86</v>
      </c>
      <c r="K37">
        <v>104</v>
      </c>
      <c r="L37">
        <v>113</v>
      </c>
      <c r="M37">
        <v>104</v>
      </c>
      <c r="N37">
        <v>113</v>
      </c>
    </row>
  </sheetData>
  <sortState xmlns:xlrd2="http://schemas.microsoft.com/office/spreadsheetml/2017/richdata2" ref="A2:R62">
    <sortCondition ref="C1"/>
  </sortState>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dimension ref="A1:R38"/>
  <sheetViews>
    <sheetView topLeftCell="Q1" workbookViewId="0">
      <selection activeCell="W3" sqref="W3"/>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20" max="20" width="19.54296875" customWidth="1"/>
    <col min="21" max="21" width="23.26953125" customWidth="1"/>
    <col min="22" max="22" width="18.26953125" customWidth="1"/>
    <col min="23" max="23" width="22.2695312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43392</v>
      </c>
      <c r="C2" t="s">
        <v>243</v>
      </c>
      <c r="D2" t="s">
        <v>245</v>
      </c>
      <c r="E2">
        <v>25</v>
      </c>
      <c r="F2">
        <v>30</v>
      </c>
      <c r="G2">
        <v>53</v>
      </c>
      <c r="H2">
        <v>62</v>
      </c>
      <c r="I2">
        <v>76</v>
      </c>
      <c r="J2">
        <v>93</v>
      </c>
      <c r="K2">
        <v>101</v>
      </c>
      <c r="L2">
        <v>118</v>
      </c>
      <c r="M2">
        <v>101</v>
      </c>
      <c r="N2">
        <v>118</v>
      </c>
    </row>
    <row r="3" spans="1:18">
      <c r="A3">
        <v>4</v>
      </c>
      <c r="B3" s="68">
        <v>43395</v>
      </c>
      <c r="C3" t="s">
        <v>243</v>
      </c>
      <c r="D3" t="s">
        <v>259</v>
      </c>
      <c r="E3">
        <v>28</v>
      </c>
      <c r="F3">
        <v>25</v>
      </c>
      <c r="G3">
        <v>49</v>
      </c>
      <c r="H3">
        <v>50</v>
      </c>
      <c r="I3">
        <v>73</v>
      </c>
      <c r="J3">
        <v>72</v>
      </c>
      <c r="K3">
        <v>91</v>
      </c>
      <c r="L3">
        <v>101</v>
      </c>
      <c r="M3">
        <v>91</v>
      </c>
      <c r="N3">
        <v>101</v>
      </c>
    </row>
    <row r="4" spans="1:18">
      <c r="A4">
        <v>5</v>
      </c>
      <c r="B4" s="68">
        <v>43397</v>
      </c>
      <c r="C4" t="s">
        <v>243</v>
      </c>
      <c r="D4" t="s">
        <v>260</v>
      </c>
      <c r="E4">
        <v>28</v>
      </c>
      <c r="F4">
        <v>22</v>
      </c>
      <c r="G4">
        <v>62</v>
      </c>
      <c r="H4">
        <v>50</v>
      </c>
      <c r="I4">
        <v>88</v>
      </c>
      <c r="J4">
        <v>71</v>
      </c>
      <c r="K4">
        <v>116</v>
      </c>
      <c r="L4">
        <v>96</v>
      </c>
      <c r="M4">
        <v>116</v>
      </c>
      <c r="N4">
        <v>96</v>
      </c>
    </row>
    <row r="5" spans="1:18">
      <c r="A5">
        <v>6</v>
      </c>
      <c r="B5" s="68">
        <v>43400</v>
      </c>
      <c r="C5" t="s">
        <v>243</v>
      </c>
      <c r="D5" t="s">
        <v>255</v>
      </c>
      <c r="E5">
        <v>30</v>
      </c>
      <c r="F5">
        <v>30</v>
      </c>
      <c r="G5">
        <v>60</v>
      </c>
      <c r="H5">
        <v>55</v>
      </c>
      <c r="I5">
        <v>88</v>
      </c>
      <c r="J5">
        <v>83</v>
      </c>
      <c r="K5">
        <v>119</v>
      </c>
      <c r="L5">
        <v>107</v>
      </c>
      <c r="M5">
        <v>119</v>
      </c>
      <c r="N5">
        <v>107</v>
      </c>
    </row>
    <row r="6" spans="1:18">
      <c r="A6">
        <v>8</v>
      </c>
      <c r="B6" s="68">
        <v>43404</v>
      </c>
      <c r="C6" t="s">
        <v>243</v>
      </c>
      <c r="D6" t="s">
        <v>254</v>
      </c>
      <c r="E6">
        <v>28</v>
      </c>
      <c r="F6">
        <v>25</v>
      </c>
      <c r="G6">
        <v>50</v>
      </c>
      <c r="H6">
        <v>52</v>
      </c>
      <c r="I6">
        <v>77</v>
      </c>
      <c r="J6">
        <v>81</v>
      </c>
      <c r="K6">
        <v>107</v>
      </c>
      <c r="L6">
        <v>101</v>
      </c>
      <c r="M6">
        <v>107</v>
      </c>
      <c r="N6">
        <v>101</v>
      </c>
    </row>
    <row r="7" spans="1:18">
      <c r="A7">
        <v>9</v>
      </c>
      <c r="B7" s="68">
        <v>43406</v>
      </c>
      <c r="C7" t="s">
        <v>243</v>
      </c>
      <c r="D7" t="s">
        <v>267</v>
      </c>
      <c r="E7">
        <v>22</v>
      </c>
      <c r="F7">
        <v>37</v>
      </c>
      <c r="G7">
        <v>60</v>
      </c>
      <c r="H7">
        <v>58</v>
      </c>
      <c r="I7">
        <v>87</v>
      </c>
      <c r="J7">
        <v>80</v>
      </c>
      <c r="K7">
        <v>107</v>
      </c>
      <c r="L7">
        <v>105</v>
      </c>
      <c r="M7">
        <v>107</v>
      </c>
      <c r="N7">
        <v>105</v>
      </c>
    </row>
    <row r="8" spans="1:18">
      <c r="A8">
        <v>13</v>
      </c>
      <c r="B8" s="68">
        <v>43413</v>
      </c>
      <c r="C8" t="s">
        <v>243</v>
      </c>
      <c r="D8" t="s">
        <v>251</v>
      </c>
      <c r="E8">
        <v>24</v>
      </c>
      <c r="F8">
        <v>26</v>
      </c>
      <c r="G8">
        <v>51</v>
      </c>
      <c r="H8">
        <v>59</v>
      </c>
      <c r="I8">
        <v>84</v>
      </c>
      <c r="J8">
        <v>80</v>
      </c>
      <c r="K8">
        <v>110</v>
      </c>
      <c r="L8">
        <v>102</v>
      </c>
      <c r="M8">
        <v>110</v>
      </c>
      <c r="N8">
        <v>102</v>
      </c>
    </row>
    <row r="9" spans="1:18">
      <c r="A9">
        <v>14</v>
      </c>
      <c r="B9" s="68">
        <v>43415</v>
      </c>
      <c r="C9" t="s">
        <v>243</v>
      </c>
      <c r="D9" t="s">
        <v>258</v>
      </c>
      <c r="E9">
        <v>31</v>
      </c>
      <c r="F9">
        <v>32</v>
      </c>
      <c r="G9">
        <v>54</v>
      </c>
      <c r="H9">
        <v>76</v>
      </c>
      <c r="I9">
        <v>81</v>
      </c>
      <c r="J9">
        <v>102</v>
      </c>
      <c r="K9">
        <v>103</v>
      </c>
      <c r="L9">
        <v>115</v>
      </c>
      <c r="M9">
        <v>103</v>
      </c>
      <c r="N9">
        <v>115</v>
      </c>
    </row>
    <row r="10" spans="1:18">
      <c r="A10">
        <v>18</v>
      </c>
      <c r="B10" s="68">
        <v>43425</v>
      </c>
      <c r="C10" t="s">
        <v>243</v>
      </c>
      <c r="D10" t="s">
        <v>246</v>
      </c>
      <c r="E10">
        <v>30</v>
      </c>
      <c r="F10">
        <v>35</v>
      </c>
      <c r="G10">
        <v>60</v>
      </c>
      <c r="H10">
        <v>68</v>
      </c>
      <c r="I10">
        <v>84</v>
      </c>
      <c r="J10">
        <v>105</v>
      </c>
      <c r="K10">
        <v>109</v>
      </c>
      <c r="L10">
        <v>127</v>
      </c>
      <c r="M10">
        <v>109</v>
      </c>
      <c r="N10">
        <v>127</v>
      </c>
    </row>
    <row r="11" spans="1:18">
      <c r="A11">
        <v>20</v>
      </c>
      <c r="B11" s="68">
        <v>43430</v>
      </c>
      <c r="C11" t="s">
        <v>243</v>
      </c>
      <c r="D11" t="s">
        <v>261</v>
      </c>
      <c r="E11">
        <v>33</v>
      </c>
      <c r="F11">
        <v>25</v>
      </c>
      <c r="G11">
        <v>58</v>
      </c>
      <c r="H11">
        <v>47</v>
      </c>
      <c r="I11">
        <v>89</v>
      </c>
      <c r="J11">
        <v>70</v>
      </c>
      <c r="K11">
        <v>121</v>
      </c>
      <c r="L11">
        <v>88</v>
      </c>
      <c r="M11">
        <v>121</v>
      </c>
      <c r="N11">
        <v>88</v>
      </c>
    </row>
    <row r="12" spans="1:18">
      <c r="A12">
        <v>21</v>
      </c>
      <c r="B12" s="68">
        <v>43431</v>
      </c>
      <c r="C12" t="s">
        <v>243</v>
      </c>
      <c r="D12" t="s">
        <v>266</v>
      </c>
      <c r="E12">
        <v>26</v>
      </c>
      <c r="F12">
        <v>26</v>
      </c>
      <c r="G12">
        <v>61</v>
      </c>
      <c r="H12">
        <v>54</v>
      </c>
      <c r="I12">
        <v>81</v>
      </c>
      <c r="J12">
        <v>77</v>
      </c>
      <c r="K12">
        <v>109</v>
      </c>
      <c r="L12">
        <v>104</v>
      </c>
      <c r="M12">
        <v>109</v>
      </c>
      <c r="N12">
        <v>104</v>
      </c>
    </row>
    <row r="13" spans="1:18">
      <c r="A13">
        <v>22</v>
      </c>
      <c r="B13" s="68">
        <v>43433</v>
      </c>
      <c r="C13" t="s">
        <v>243</v>
      </c>
      <c r="D13" t="s">
        <v>269</v>
      </c>
      <c r="E13">
        <v>15</v>
      </c>
      <c r="F13">
        <v>38</v>
      </c>
      <c r="G13">
        <v>50</v>
      </c>
      <c r="H13">
        <v>56</v>
      </c>
      <c r="I13">
        <v>75</v>
      </c>
      <c r="J13">
        <v>83</v>
      </c>
      <c r="K13">
        <v>96</v>
      </c>
      <c r="L13">
        <v>104</v>
      </c>
      <c r="M13">
        <v>96</v>
      </c>
      <c r="N13">
        <v>104</v>
      </c>
    </row>
    <row r="14" spans="1:18">
      <c r="A14">
        <v>23</v>
      </c>
      <c r="B14" s="68">
        <v>43435</v>
      </c>
      <c r="C14" t="s">
        <v>243</v>
      </c>
      <c r="D14" t="s">
        <v>262</v>
      </c>
      <c r="E14">
        <v>30</v>
      </c>
      <c r="F14">
        <v>26</v>
      </c>
      <c r="G14">
        <v>60</v>
      </c>
      <c r="H14">
        <v>58</v>
      </c>
      <c r="I14">
        <v>91</v>
      </c>
      <c r="J14">
        <v>89</v>
      </c>
      <c r="K14">
        <v>110</v>
      </c>
      <c r="L14">
        <v>111</v>
      </c>
      <c r="M14">
        <v>110</v>
      </c>
      <c r="N14">
        <v>111</v>
      </c>
    </row>
    <row r="15" spans="1:18">
      <c r="A15">
        <v>25</v>
      </c>
      <c r="B15" s="68">
        <v>43441</v>
      </c>
      <c r="C15" t="s">
        <v>243</v>
      </c>
      <c r="D15" t="s">
        <v>252</v>
      </c>
      <c r="E15">
        <v>28</v>
      </c>
      <c r="F15">
        <v>25</v>
      </c>
      <c r="G15">
        <v>57</v>
      </c>
      <c r="H15">
        <v>45</v>
      </c>
      <c r="I15">
        <v>86</v>
      </c>
      <c r="J15">
        <v>70</v>
      </c>
      <c r="K15">
        <v>112</v>
      </c>
      <c r="L15">
        <v>90</v>
      </c>
      <c r="M15">
        <v>112</v>
      </c>
      <c r="N15">
        <v>90</v>
      </c>
    </row>
    <row r="16" spans="1:18">
      <c r="A16">
        <v>29</v>
      </c>
      <c r="B16" s="68">
        <v>43448</v>
      </c>
      <c r="C16" t="s">
        <v>243</v>
      </c>
      <c r="D16" t="s">
        <v>239</v>
      </c>
      <c r="E16">
        <v>24</v>
      </c>
      <c r="F16">
        <v>34</v>
      </c>
      <c r="G16">
        <v>49</v>
      </c>
      <c r="H16">
        <v>59</v>
      </c>
      <c r="I16">
        <v>80</v>
      </c>
      <c r="J16">
        <v>77</v>
      </c>
      <c r="K16">
        <v>113</v>
      </c>
      <c r="L16">
        <v>101</v>
      </c>
      <c r="M16">
        <v>113</v>
      </c>
      <c r="N16">
        <v>101</v>
      </c>
    </row>
    <row r="17" spans="1:14">
      <c r="A17">
        <v>32</v>
      </c>
      <c r="B17" s="68">
        <v>43453</v>
      </c>
      <c r="C17" t="s">
        <v>243</v>
      </c>
      <c r="D17" t="s">
        <v>256</v>
      </c>
      <c r="E17">
        <v>34</v>
      </c>
      <c r="F17">
        <v>24</v>
      </c>
      <c r="G17">
        <v>58</v>
      </c>
      <c r="H17">
        <v>50</v>
      </c>
      <c r="I17">
        <v>85</v>
      </c>
      <c r="J17">
        <v>75</v>
      </c>
      <c r="K17">
        <v>96</v>
      </c>
      <c r="L17">
        <v>99</v>
      </c>
      <c r="M17">
        <v>96</v>
      </c>
      <c r="N17">
        <v>99</v>
      </c>
    </row>
    <row r="18" spans="1:14">
      <c r="A18">
        <v>33</v>
      </c>
      <c r="B18" s="68">
        <v>43455</v>
      </c>
      <c r="C18" t="s">
        <v>243</v>
      </c>
      <c r="D18" t="s">
        <v>247</v>
      </c>
      <c r="E18">
        <v>37</v>
      </c>
      <c r="F18">
        <v>27</v>
      </c>
      <c r="G18">
        <v>59</v>
      </c>
      <c r="H18">
        <v>49</v>
      </c>
      <c r="I18">
        <v>84</v>
      </c>
      <c r="J18">
        <v>80</v>
      </c>
      <c r="K18">
        <v>114</v>
      </c>
      <c r="L18">
        <v>106</v>
      </c>
      <c r="M18">
        <v>114</v>
      </c>
      <c r="N18">
        <v>106</v>
      </c>
    </row>
    <row r="19" spans="1:14">
      <c r="A19">
        <v>35</v>
      </c>
      <c r="B19" s="68">
        <v>43460</v>
      </c>
      <c r="C19" t="s">
        <v>243</v>
      </c>
      <c r="D19" t="s">
        <v>253</v>
      </c>
      <c r="E19">
        <v>32</v>
      </c>
      <c r="F19">
        <v>31</v>
      </c>
      <c r="G19">
        <v>64</v>
      </c>
      <c r="H19">
        <v>67</v>
      </c>
      <c r="I19">
        <v>95</v>
      </c>
      <c r="J19">
        <v>88</v>
      </c>
      <c r="K19">
        <v>129</v>
      </c>
      <c r="L19">
        <v>121</v>
      </c>
      <c r="M19">
        <v>129</v>
      </c>
      <c r="N19">
        <v>121</v>
      </c>
    </row>
    <row r="20" spans="1:14">
      <c r="A20">
        <v>1</v>
      </c>
      <c r="B20" s="68">
        <v>43390</v>
      </c>
      <c r="C20" t="s">
        <v>244</v>
      </c>
      <c r="D20" t="s">
        <v>249</v>
      </c>
      <c r="E20">
        <v>27</v>
      </c>
      <c r="F20">
        <v>16</v>
      </c>
      <c r="G20">
        <v>56</v>
      </c>
      <c r="H20">
        <v>39</v>
      </c>
      <c r="I20">
        <v>76</v>
      </c>
      <c r="J20">
        <v>58</v>
      </c>
      <c r="K20">
        <v>111</v>
      </c>
      <c r="L20">
        <v>83</v>
      </c>
      <c r="M20">
        <v>111</v>
      </c>
      <c r="N20">
        <v>83</v>
      </c>
    </row>
    <row r="21" spans="1:14">
      <c r="A21">
        <v>3</v>
      </c>
      <c r="B21" s="68">
        <v>43393</v>
      </c>
      <c r="C21" t="s">
        <v>244</v>
      </c>
      <c r="D21" t="s">
        <v>247</v>
      </c>
      <c r="E21">
        <v>33</v>
      </c>
      <c r="F21">
        <v>29</v>
      </c>
      <c r="G21">
        <v>67</v>
      </c>
      <c r="H21">
        <v>58</v>
      </c>
      <c r="I21">
        <v>95</v>
      </c>
      <c r="J21">
        <v>85</v>
      </c>
      <c r="K21">
        <v>132</v>
      </c>
      <c r="L21">
        <v>112</v>
      </c>
      <c r="M21">
        <v>132</v>
      </c>
      <c r="N21">
        <v>112</v>
      </c>
    </row>
    <row r="22" spans="1:14">
      <c r="A22">
        <v>7</v>
      </c>
      <c r="B22" s="68">
        <v>43402</v>
      </c>
      <c r="C22" t="s">
        <v>244</v>
      </c>
      <c r="D22" t="s">
        <v>270</v>
      </c>
      <c r="E22">
        <v>16</v>
      </c>
      <c r="F22">
        <v>23</v>
      </c>
      <c r="G22">
        <v>49</v>
      </c>
      <c r="H22">
        <v>45</v>
      </c>
      <c r="I22">
        <v>69</v>
      </c>
      <c r="J22">
        <v>71</v>
      </c>
      <c r="K22">
        <v>93</v>
      </c>
      <c r="L22">
        <v>103</v>
      </c>
      <c r="M22">
        <v>93</v>
      </c>
      <c r="N22">
        <v>103</v>
      </c>
    </row>
    <row r="23" spans="1:14">
      <c r="A23">
        <v>10</v>
      </c>
      <c r="B23" s="68">
        <v>43407</v>
      </c>
      <c r="C23" t="s">
        <v>244</v>
      </c>
      <c r="D23" t="s">
        <v>240</v>
      </c>
      <c r="E23">
        <v>18</v>
      </c>
      <c r="F23">
        <v>28</v>
      </c>
      <c r="G23">
        <v>45</v>
      </c>
      <c r="H23">
        <v>45</v>
      </c>
      <c r="I23">
        <v>72</v>
      </c>
      <c r="J23">
        <v>72</v>
      </c>
      <c r="K23">
        <v>102</v>
      </c>
      <c r="L23">
        <v>101</v>
      </c>
      <c r="M23">
        <v>102</v>
      </c>
      <c r="N23">
        <v>101</v>
      </c>
    </row>
    <row r="24" spans="1:14">
      <c r="A24">
        <v>11</v>
      </c>
      <c r="B24" s="68">
        <v>43409</v>
      </c>
      <c r="C24" t="s">
        <v>244</v>
      </c>
      <c r="D24" t="s">
        <v>258</v>
      </c>
      <c r="E24">
        <v>22</v>
      </c>
      <c r="F24">
        <v>29</v>
      </c>
      <c r="G24">
        <v>55</v>
      </c>
      <c r="H24">
        <v>53</v>
      </c>
      <c r="I24">
        <v>75</v>
      </c>
      <c r="J24">
        <v>69</v>
      </c>
      <c r="K24">
        <v>94</v>
      </c>
      <c r="L24">
        <v>98</v>
      </c>
      <c r="M24">
        <v>94</v>
      </c>
      <c r="N24">
        <v>98</v>
      </c>
    </row>
    <row r="25" spans="1:14">
      <c r="A25">
        <v>12</v>
      </c>
      <c r="B25" s="68">
        <v>43411</v>
      </c>
      <c r="C25" t="s">
        <v>244</v>
      </c>
      <c r="D25" t="s">
        <v>239</v>
      </c>
      <c r="E25">
        <v>23</v>
      </c>
      <c r="F25">
        <v>29</v>
      </c>
      <c r="G25">
        <v>50</v>
      </c>
      <c r="H25">
        <v>50</v>
      </c>
      <c r="I25">
        <v>71</v>
      </c>
      <c r="J25">
        <v>78</v>
      </c>
      <c r="K25">
        <v>94</v>
      </c>
      <c r="L25">
        <v>100</v>
      </c>
      <c r="M25">
        <v>94</v>
      </c>
      <c r="N25">
        <v>100</v>
      </c>
    </row>
    <row r="26" spans="1:14">
      <c r="A26">
        <v>15</v>
      </c>
      <c r="B26" s="68">
        <v>43420</v>
      </c>
      <c r="C26" t="s">
        <v>244</v>
      </c>
      <c r="D26" t="s">
        <v>251</v>
      </c>
      <c r="E26">
        <v>18</v>
      </c>
      <c r="F26">
        <v>27</v>
      </c>
      <c r="G26">
        <v>50</v>
      </c>
      <c r="H26">
        <v>43</v>
      </c>
      <c r="I26">
        <v>72</v>
      </c>
      <c r="J26">
        <v>67</v>
      </c>
      <c r="K26">
        <v>99</v>
      </c>
      <c r="L26">
        <v>91</v>
      </c>
      <c r="M26">
        <v>99</v>
      </c>
      <c r="N26">
        <v>91</v>
      </c>
    </row>
    <row r="27" spans="1:14">
      <c r="A27">
        <v>16</v>
      </c>
      <c r="B27" s="68">
        <v>43421</v>
      </c>
      <c r="C27" t="s">
        <v>244</v>
      </c>
      <c r="D27" t="s">
        <v>253</v>
      </c>
      <c r="E27">
        <v>25</v>
      </c>
      <c r="F27">
        <v>24</v>
      </c>
      <c r="G27">
        <v>47</v>
      </c>
      <c r="H27">
        <v>56</v>
      </c>
      <c r="I27">
        <v>73</v>
      </c>
      <c r="J27">
        <v>72</v>
      </c>
      <c r="K27">
        <v>97</v>
      </c>
      <c r="L27">
        <v>89</v>
      </c>
      <c r="M27">
        <v>97</v>
      </c>
      <c r="N27">
        <v>89</v>
      </c>
    </row>
    <row r="28" spans="1:14">
      <c r="A28">
        <v>17</v>
      </c>
      <c r="B28" s="68">
        <v>43423</v>
      </c>
      <c r="C28" t="s">
        <v>244</v>
      </c>
      <c r="D28" t="s">
        <v>261</v>
      </c>
      <c r="E28">
        <v>32</v>
      </c>
      <c r="F28">
        <v>19</v>
      </c>
      <c r="G28">
        <v>57</v>
      </c>
      <c r="H28">
        <v>47</v>
      </c>
      <c r="I28">
        <v>86</v>
      </c>
      <c r="J28">
        <v>70</v>
      </c>
      <c r="K28">
        <v>121</v>
      </c>
      <c r="L28">
        <v>94</v>
      </c>
      <c r="M28">
        <v>121</v>
      </c>
      <c r="N28">
        <v>94</v>
      </c>
    </row>
    <row r="29" spans="1:14">
      <c r="A29">
        <v>19</v>
      </c>
      <c r="B29" s="68">
        <v>43427</v>
      </c>
      <c r="C29" t="s">
        <v>244</v>
      </c>
      <c r="D29" t="s">
        <v>260</v>
      </c>
      <c r="E29">
        <v>23</v>
      </c>
      <c r="F29">
        <v>29</v>
      </c>
      <c r="G29">
        <v>45</v>
      </c>
      <c r="H29">
        <v>54</v>
      </c>
      <c r="I29">
        <v>69</v>
      </c>
      <c r="J29">
        <v>82</v>
      </c>
      <c r="K29">
        <v>100</v>
      </c>
      <c r="L29">
        <v>111</v>
      </c>
      <c r="M29">
        <v>100</v>
      </c>
      <c r="N29">
        <v>111</v>
      </c>
    </row>
    <row r="30" spans="1:14">
      <c r="A30">
        <v>24</v>
      </c>
      <c r="B30" s="68">
        <v>43438</v>
      </c>
      <c r="C30" t="s">
        <v>244</v>
      </c>
      <c r="D30" t="s">
        <v>267</v>
      </c>
      <c r="E30">
        <v>23</v>
      </c>
      <c r="F30">
        <v>21</v>
      </c>
      <c r="G30">
        <v>43</v>
      </c>
      <c r="H30">
        <v>45</v>
      </c>
      <c r="I30">
        <v>70</v>
      </c>
      <c r="J30">
        <v>67</v>
      </c>
      <c r="K30">
        <v>96</v>
      </c>
      <c r="L30">
        <v>90</v>
      </c>
      <c r="M30">
        <v>96</v>
      </c>
      <c r="N30">
        <v>90</v>
      </c>
    </row>
    <row r="31" spans="1:14">
      <c r="A31">
        <v>26</v>
      </c>
      <c r="B31" s="68">
        <v>43442</v>
      </c>
      <c r="C31" t="s">
        <v>244</v>
      </c>
      <c r="D31" t="s">
        <v>262</v>
      </c>
      <c r="E31">
        <v>24</v>
      </c>
      <c r="F31">
        <v>31</v>
      </c>
      <c r="G31">
        <v>54</v>
      </c>
      <c r="H31">
        <v>52</v>
      </c>
      <c r="I31">
        <v>73</v>
      </c>
      <c r="J31">
        <v>70</v>
      </c>
      <c r="K31">
        <v>107</v>
      </c>
      <c r="L31">
        <v>97</v>
      </c>
      <c r="M31">
        <v>107</v>
      </c>
      <c r="N31">
        <v>97</v>
      </c>
    </row>
    <row r="32" spans="1:14">
      <c r="A32">
        <v>27</v>
      </c>
      <c r="B32" s="68">
        <v>43444</v>
      </c>
      <c r="C32" t="s">
        <v>244</v>
      </c>
      <c r="D32" t="s">
        <v>268</v>
      </c>
      <c r="E32">
        <v>29</v>
      </c>
      <c r="F32">
        <v>33</v>
      </c>
      <c r="G32">
        <v>59</v>
      </c>
      <c r="H32">
        <v>50</v>
      </c>
      <c r="I32">
        <v>87</v>
      </c>
      <c r="J32">
        <v>75</v>
      </c>
      <c r="K32">
        <v>109</v>
      </c>
      <c r="L32">
        <v>101</v>
      </c>
      <c r="M32">
        <v>109</v>
      </c>
      <c r="N32">
        <v>101</v>
      </c>
    </row>
    <row r="33" spans="1:14">
      <c r="A33">
        <v>28</v>
      </c>
      <c r="B33" s="68">
        <v>43446</v>
      </c>
      <c r="C33" t="s">
        <v>244</v>
      </c>
      <c r="D33" t="s">
        <v>245</v>
      </c>
      <c r="E33">
        <v>29</v>
      </c>
      <c r="F33">
        <v>23</v>
      </c>
      <c r="G33">
        <v>58</v>
      </c>
      <c r="H33">
        <v>43</v>
      </c>
      <c r="I33">
        <v>85</v>
      </c>
      <c r="J33">
        <v>70</v>
      </c>
      <c r="K33">
        <v>113</v>
      </c>
      <c r="L33">
        <v>97</v>
      </c>
      <c r="M33">
        <v>113</v>
      </c>
      <c r="N33">
        <v>97</v>
      </c>
    </row>
    <row r="34" spans="1:14">
      <c r="A34">
        <v>30</v>
      </c>
      <c r="B34" s="68">
        <v>43450</v>
      </c>
      <c r="C34" t="s">
        <v>244</v>
      </c>
      <c r="D34" t="s">
        <v>254</v>
      </c>
      <c r="E34">
        <v>28</v>
      </c>
      <c r="F34">
        <v>26</v>
      </c>
      <c r="G34">
        <v>56</v>
      </c>
      <c r="H34">
        <v>53</v>
      </c>
      <c r="I34">
        <v>79</v>
      </c>
      <c r="J34">
        <v>73</v>
      </c>
      <c r="K34">
        <v>110</v>
      </c>
      <c r="L34">
        <v>99</v>
      </c>
      <c r="M34">
        <v>110</v>
      </c>
      <c r="N34">
        <v>99</v>
      </c>
    </row>
    <row r="35" spans="1:14">
      <c r="A35">
        <v>31</v>
      </c>
      <c r="B35" s="68">
        <v>43452</v>
      </c>
      <c r="C35" t="s">
        <v>244</v>
      </c>
      <c r="D35" t="s">
        <v>255</v>
      </c>
      <c r="E35">
        <v>19</v>
      </c>
      <c r="F35">
        <v>21</v>
      </c>
      <c r="G35">
        <v>44</v>
      </c>
      <c r="H35">
        <v>45</v>
      </c>
      <c r="I35">
        <v>68</v>
      </c>
      <c r="J35">
        <v>67</v>
      </c>
      <c r="K35">
        <v>91</v>
      </c>
      <c r="L35">
        <v>92</v>
      </c>
      <c r="M35">
        <v>91</v>
      </c>
      <c r="N35">
        <v>92</v>
      </c>
    </row>
    <row r="36" spans="1:14">
      <c r="A36">
        <v>34</v>
      </c>
      <c r="B36" s="68">
        <v>43457</v>
      </c>
      <c r="C36" t="s">
        <v>244</v>
      </c>
      <c r="D36" t="s">
        <v>268</v>
      </c>
      <c r="E36">
        <v>27</v>
      </c>
      <c r="F36">
        <v>25</v>
      </c>
      <c r="G36">
        <v>53</v>
      </c>
      <c r="H36">
        <v>46</v>
      </c>
      <c r="I36">
        <v>84</v>
      </c>
      <c r="J36">
        <v>64</v>
      </c>
      <c r="K36">
        <v>105</v>
      </c>
      <c r="L36">
        <v>89</v>
      </c>
      <c r="M36">
        <v>105</v>
      </c>
      <c r="N36">
        <v>89</v>
      </c>
    </row>
    <row r="37" spans="1:14">
      <c r="A37">
        <v>36</v>
      </c>
      <c r="B37" s="68">
        <v>43462</v>
      </c>
      <c r="C37" t="s">
        <v>244</v>
      </c>
      <c r="D37" t="s">
        <v>248</v>
      </c>
      <c r="E37">
        <v>32</v>
      </c>
      <c r="F37">
        <v>21</v>
      </c>
      <c r="G37">
        <v>58</v>
      </c>
      <c r="H37">
        <v>45</v>
      </c>
      <c r="I37">
        <v>91</v>
      </c>
      <c r="J37">
        <v>69</v>
      </c>
      <c r="K37">
        <v>125</v>
      </c>
      <c r="L37">
        <v>88</v>
      </c>
      <c r="M37">
        <v>125</v>
      </c>
      <c r="N37">
        <v>88</v>
      </c>
    </row>
    <row r="38" spans="1:14">
      <c r="A38">
        <v>37</v>
      </c>
      <c r="B38" s="68">
        <v>43465</v>
      </c>
      <c r="C38" t="s">
        <v>244</v>
      </c>
      <c r="D38" t="s">
        <v>253</v>
      </c>
      <c r="E38">
        <v>33</v>
      </c>
      <c r="F38">
        <v>25</v>
      </c>
      <c r="G38">
        <v>63</v>
      </c>
      <c r="H38">
        <v>60</v>
      </c>
      <c r="I38">
        <v>97</v>
      </c>
      <c r="J38">
        <v>81</v>
      </c>
      <c r="K38">
        <v>116</v>
      </c>
      <c r="L38">
        <v>108</v>
      </c>
      <c r="M38">
        <v>116</v>
      </c>
      <c r="N38">
        <v>108</v>
      </c>
    </row>
  </sheetData>
  <sortState xmlns:xlrd2="http://schemas.microsoft.com/office/spreadsheetml/2017/richdata2" ref="A2:R64">
    <sortCondition ref="C1"/>
  </sortState>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dimension ref="A1:R40"/>
  <sheetViews>
    <sheetView topLeftCell="S1" workbookViewId="0">
      <selection activeCell="V3" sqref="V3"/>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453125" customWidth="1"/>
    <col min="20" max="20" width="22.453125" customWidth="1"/>
    <col min="21" max="21" width="22.36328125" customWidth="1"/>
    <col min="22" max="22" width="19.26953125" customWidth="1"/>
    <col min="23" max="23" width="23" customWidth="1"/>
    <col min="24" max="24" width="19.1796875" customWidth="1"/>
    <col min="25" max="25" width="23.7265625" customWidth="1"/>
    <col min="26" max="26" width="21.90625" customWidth="1"/>
    <col min="27" max="27" width="22.17968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43390</v>
      </c>
      <c r="C2" t="s">
        <v>243</v>
      </c>
      <c r="D2" t="s">
        <v>258</v>
      </c>
      <c r="E2">
        <v>35</v>
      </c>
      <c r="F2">
        <v>29</v>
      </c>
      <c r="G2">
        <v>71</v>
      </c>
      <c r="H2">
        <v>54</v>
      </c>
      <c r="I2">
        <v>101</v>
      </c>
      <c r="J2">
        <v>84</v>
      </c>
      <c r="K2">
        <v>131</v>
      </c>
      <c r="L2">
        <v>112</v>
      </c>
      <c r="M2">
        <v>131</v>
      </c>
      <c r="N2">
        <v>112</v>
      </c>
    </row>
    <row r="3" spans="1:18">
      <c r="A3">
        <v>6</v>
      </c>
      <c r="B3" s="68">
        <v>43402</v>
      </c>
      <c r="C3" t="s">
        <v>243</v>
      </c>
      <c r="D3" t="s">
        <v>263</v>
      </c>
      <c r="E3">
        <v>24</v>
      </c>
      <c r="F3">
        <v>20</v>
      </c>
      <c r="G3">
        <v>45</v>
      </c>
      <c r="H3">
        <v>58</v>
      </c>
      <c r="I3">
        <v>76</v>
      </c>
      <c r="J3">
        <v>84</v>
      </c>
      <c r="K3">
        <v>111</v>
      </c>
      <c r="L3">
        <v>116</v>
      </c>
      <c r="M3">
        <v>111</v>
      </c>
      <c r="N3">
        <v>116</v>
      </c>
    </row>
    <row r="4" spans="1:18">
      <c r="A4">
        <v>7</v>
      </c>
      <c r="B4" s="68">
        <v>43404</v>
      </c>
      <c r="C4" t="s">
        <v>243</v>
      </c>
      <c r="D4" t="s">
        <v>242</v>
      </c>
      <c r="E4">
        <v>37</v>
      </c>
      <c r="F4">
        <v>43</v>
      </c>
      <c r="G4">
        <v>63</v>
      </c>
      <c r="H4">
        <v>70</v>
      </c>
      <c r="I4">
        <v>92</v>
      </c>
      <c r="J4">
        <v>107</v>
      </c>
      <c r="K4">
        <v>121</v>
      </c>
      <c r="L4">
        <v>131</v>
      </c>
      <c r="M4">
        <v>121</v>
      </c>
      <c r="N4">
        <v>131</v>
      </c>
    </row>
    <row r="5" spans="1:18">
      <c r="A5">
        <v>8</v>
      </c>
      <c r="B5" s="68">
        <v>43405</v>
      </c>
      <c r="C5" t="s">
        <v>243</v>
      </c>
      <c r="D5" t="s">
        <v>270</v>
      </c>
      <c r="E5">
        <v>31</v>
      </c>
      <c r="F5">
        <v>35</v>
      </c>
      <c r="G5">
        <v>65</v>
      </c>
      <c r="H5">
        <v>70</v>
      </c>
      <c r="I5">
        <v>99</v>
      </c>
      <c r="J5">
        <v>102</v>
      </c>
      <c r="K5">
        <v>119</v>
      </c>
      <c r="L5">
        <v>132</v>
      </c>
      <c r="M5">
        <v>119</v>
      </c>
      <c r="N5">
        <v>132</v>
      </c>
    </row>
    <row r="6" spans="1:18">
      <c r="A6">
        <v>9</v>
      </c>
      <c r="B6" s="68">
        <v>43407</v>
      </c>
      <c r="C6" t="s">
        <v>243</v>
      </c>
      <c r="D6" t="s">
        <v>260</v>
      </c>
      <c r="E6">
        <v>17</v>
      </c>
      <c r="F6">
        <v>24</v>
      </c>
      <c r="G6">
        <v>39</v>
      </c>
      <c r="H6">
        <v>58</v>
      </c>
      <c r="I6">
        <v>68</v>
      </c>
      <c r="J6">
        <v>87</v>
      </c>
      <c r="K6">
        <v>95</v>
      </c>
      <c r="L6">
        <v>109</v>
      </c>
      <c r="M6">
        <v>95</v>
      </c>
      <c r="N6">
        <v>109</v>
      </c>
    </row>
    <row r="7" spans="1:18">
      <c r="A7">
        <v>10</v>
      </c>
      <c r="B7" s="68">
        <v>43409</v>
      </c>
      <c r="C7" t="s">
        <v>243</v>
      </c>
      <c r="D7" t="s">
        <v>241</v>
      </c>
      <c r="E7">
        <v>28</v>
      </c>
      <c r="F7">
        <v>36</v>
      </c>
      <c r="G7">
        <v>63</v>
      </c>
      <c r="H7">
        <v>62</v>
      </c>
      <c r="I7">
        <v>86</v>
      </c>
      <c r="J7">
        <v>100</v>
      </c>
      <c r="K7">
        <v>116</v>
      </c>
      <c r="L7">
        <v>122</v>
      </c>
      <c r="M7">
        <v>116</v>
      </c>
      <c r="N7">
        <v>122</v>
      </c>
    </row>
    <row r="8" spans="1:18">
      <c r="A8">
        <v>13</v>
      </c>
      <c r="B8" s="68">
        <v>43416</v>
      </c>
      <c r="C8" t="s">
        <v>243</v>
      </c>
      <c r="D8" t="s">
        <v>256</v>
      </c>
      <c r="E8">
        <v>31</v>
      </c>
      <c r="F8">
        <v>29</v>
      </c>
      <c r="G8">
        <v>66</v>
      </c>
      <c r="H8">
        <v>61</v>
      </c>
      <c r="I8">
        <v>94</v>
      </c>
      <c r="J8">
        <v>83</v>
      </c>
      <c r="K8">
        <v>126</v>
      </c>
      <c r="L8">
        <v>110</v>
      </c>
      <c r="M8">
        <v>126</v>
      </c>
      <c r="N8">
        <v>110</v>
      </c>
    </row>
    <row r="9" spans="1:18">
      <c r="A9">
        <v>14</v>
      </c>
      <c r="B9" s="68">
        <v>43418</v>
      </c>
      <c r="C9" t="s">
        <v>243</v>
      </c>
      <c r="D9" t="s">
        <v>259</v>
      </c>
      <c r="E9">
        <v>28</v>
      </c>
      <c r="F9">
        <v>38</v>
      </c>
      <c r="G9">
        <v>54</v>
      </c>
      <c r="H9">
        <v>67</v>
      </c>
      <c r="I9">
        <v>81</v>
      </c>
      <c r="J9">
        <v>85</v>
      </c>
      <c r="K9">
        <v>100</v>
      </c>
      <c r="L9">
        <v>107</v>
      </c>
      <c r="M9">
        <v>100</v>
      </c>
      <c r="N9">
        <v>107</v>
      </c>
    </row>
    <row r="10" spans="1:18">
      <c r="A10">
        <v>18</v>
      </c>
      <c r="B10" s="68">
        <v>43425</v>
      </c>
      <c r="C10" t="s">
        <v>243</v>
      </c>
      <c r="D10" t="s">
        <v>239</v>
      </c>
      <c r="E10">
        <v>23</v>
      </c>
      <c r="F10">
        <v>38</v>
      </c>
      <c r="G10">
        <v>57</v>
      </c>
      <c r="H10">
        <v>67</v>
      </c>
      <c r="I10">
        <v>87</v>
      </c>
      <c r="J10">
        <v>96</v>
      </c>
      <c r="K10">
        <v>120</v>
      </c>
      <c r="L10">
        <v>121</v>
      </c>
      <c r="M10">
        <v>120</v>
      </c>
      <c r="N10">
        <v>121</v>
      </c>
    </row>
    <row r="11" spans="1:18">
      <c r="A11">
        <v>19</v>
      </c>
      <c r="B11" s="68">
        <v>43427</v>
      </c>
      <c r="C11" t="s">
        <v>243</v>
      </c>
      <c r="D11" t="s">
        <v>254</v>
      </c>
      <c r="E11">
        <v>34</v>
      </c>
      <c r="F11">
        <v>28</v>
      </c>
      <c r="G11">
        <v>60</v>
      </c>
      <c r="H11">
        <v>59</v>
      </c>
      <c r="I11">
        <v>90</v>
      </c>
      <c r="J11">
        <v>87</v>
      </c>
      <c r="K11">
        <v>109</v>
      </c>
      <c r="L11">
        <v>114</v>
      </c>
      <c r="M11">
        <v>109</v>
      </c>
      <c r="N11">
        <v>114</v>
      </c>
    </row>
    <row r="12" spans="1:18">
      <c r="A12">
        <v>20</v>
      </c>
      <c r="B12" s="68">
        <v>43428</v>
      </c>
      <c r="C12" t="s">
        <v>243</v>
      </c>
      <c r="D12" t="s">
        <v>268</v>
      </c>
      <c r="E12">
        <v>34</v>
      </c>
      <c r="F12">
        <v>37</v>
      </c>
      <c r="G12">
        <v>68</v>
      </c>
      <c r="H12">
        <v>68</v>
      </c>
      <c r="I12">
        <v>91</v>
      </c>
      <c r="J12">
        <v>90</v>
      </c>
      <c r="K12">
        <v>114</v>
      </c>
      <c r="L12">
        <v>124</v>
      </c>
      <c r="M12">
        <v>114</v>
      </c>
      <c r="N12">
        <v>124</v>
      </c>
    </row>
    <row r="13" spans="1:18">
      <c r="A13">
        <v>23</v>
      </c>
      <c r="B13" s="68">
        <v>43434</v>
      </c>
      <c r="C13" t="s">
        <v>243</v>
      </c>
      <c r="D13" t="s">
        <v>251</v>
      </c>
      <c r="E13">
        <v>17</v>
      </c>
      <c r="F13">
        <v>37</v>
      </c>
      <c r="G13">
        <v>41</v>
      </c>
      <c r="H13">
        <v>61</v>
      </c>
      <c r="I13">
        <v>75</v>
      </c>
      <c r="J13">
        <v>81</v>
      </c>
      <c r="K13">
        <v>101</v>
      </c>
      <c r="L13">
        <v>106</v>
      </c>
      <c r="M13">
        <v>101</v>
      </c>
      <c r="N13">
        <v>106</v>
      </c>
    </row>
    <row r="14" spans="1:18">
      <c r="A14">
        <v>24</v>
      </c>
      <c r="B14" s="68">
        <v>43436</v>
      </c>
      <c r="C14" t="s">
        <v>243</v>
      </c>
      <c r="D14" t="s">
        <v>246</v>
      </c>
      <c r="E14">
        <v>29</v>
      </c>
      <c r="F14">
        <v>30</v>
      </c>
      <c r="G14">
        <v>65</v>
      </c>
      <c r="H14">
        <v>56</v>
      </c>
      <c r="I14">
        <v>87</v>
      </c>
      <c r="J14">
        <v>77</v>
      </c>
      <c r="K14">
        <v>119</v>
      </c>
      <c r="L14">
        <v>109</v>
      </c>
      <c r="M14">
        <v>119</v>
      </c>
      <c r="N14">
        <v>109</v>
      </c>
    </row>
    <row r="15" spans="1:18">
      <c r="A15">
        <v>28</v>
      </c>
      <c r="B15" s="68">
        <v>43443</v>
      </c>
      <c r="C15" t="s">
        <v>243</v>
      </c>
      <c r="D15" t="s">
        <v>248</v>
      </c>
      <c r="E15">
        <v>28</v>
      </c>
      <c r="F15">
        <v>20</v>
      </c>
      <c r="G15">
        <v>56</v>
      </c>
      <c r="H15">
        <v>50</v>
      </c>
      <c r="I15">
        <v>91</v>
      </c>
      <c r="J15">
        <v>84</v>
      </c>
      <c r="K15">
        <v>116</v>
      </c>
      <c r="L15">
        <v>108</v>
      </c>
      <c r="M15">
        <v>116</v>
      </c>
      <c r="N15">
        <v>108</v>
      </c>
    </row>
    <row r="16" spans="1:18">
      <c r="A16">
        <v>29</v>
      </c>
      <c r="B16" s="68">
        <v>43444</v>
      </c>
      <c r="C16" t="s">
        <v>243</v>
      </c>
      <c r="D16" t="s">
        <v>240</v>
      </c>
      <c r="E16">
        <v>21</v>
      </c>
      <c r="F16">
        <v>28</v>
      </c>
      <c r="G16">
        <v>53</v>
      </c>
      <c r="H16">
        <v>59</v>
      </c>
      <c r="I16">
        <v>72</v>
      </c>
      <c r="J16">
        <v>83</v>
      </c>
      <c r="K16">
        <v>100</v>
      </c>
      <c r="L16">
        <v>113</v>
      </c>
      <c r="M16">
        <v>100</v>
      </c>
      <c r="N16">
        <v>113</v>
      </c>
    </row>
    <row r="17" spans="1:14">
      <c r="A17">
        <v>32</v>
      </c>
      <c r="B17" s="68">
        <v>43453</v>
      </c>
      <c r="C17" t="s">
        <v>243</v>
      </c>
      <c r="D17" t="s">
        <v>245</v>
      </c>
      <c r="E17">
        <v>31</v>
      </c>
      <c r="F17">
        <v>33</v>
      </c>
      <c r="G17">
        <v>66</v>
      </c>
      <c r="H17">
        <v>62</v>
      </c>
      <c r="I17">
        <v>90</v>
      </c>
      <c r="J17">
        <v>90</v>
      </c>
      <c r="K17">
        <v>115</v>
      </c>
      <c r="L17">
        <v>123</v>
      </c>
      <c r="M17">
        <v>115</v>
      </c>
      <c r="N17">
        <v>123</v>
      </c>
    </row>
    <row r="18" spans="1:14">
      <c r="A18">
        <v>33</v>
      </c>
      <c r="B18" s="68">
        <v>43455</v>
      </c>
      <c r="C18" t="s">
        <v>243</v>
      </c>
      <c r="D18" t="s">
        <v>269</v>
      </c>
      <c r="E18">
        <v>34</v>
      </c>
      <c r="F18">
        <v>34</v>
      </c>
      <c r="G18">
        <v>65</v>
      </c>
      <c r="H18">
        <v>69</v>
      </c>
      <c r="I18">
        <v>88</v>
      </c>
      <c r="J18">
        <v>94</v>
      </c>
      <c r="K18">
        <v>104</v>
      </c>
      <c r="L18">
        <v>112</v>
      </c>
      <c r="M18">
        <v>104</v>
      </c>
      <c r="N18">
        <v>112</v>
      </c>
    </row>
    <row r="19" spans="1:14">
      <c r="A19">
        <v>34</v>
      </c>
      <c r="B19" s="68">
        <v>43457</v>
      </c>
      <c r="C19" t="s">
        <v>243</v>
      </c>
      <c r="D19" t="s">
        <v>262</v>
      </c>
      <c r="E19">
        <v>36</v>
      </c>
      <c r="F19">
        <v>25</v>
      </c>
      <c r="G19">
        <v>69</v>
      </c>
      <c r="H19">
        <v>58</v>
      </c>
      <c r="I19">
        <v>96</v>
      </c>
      <c r="J19">
        <v>86</v>
      </c>
      <c r="K19">
        <v>117</v>
      </c>
      <c r="L19">
        <v>122</v>
      </c>
      <c r="M19">
        <v>117</v>
      </c>
      <c r="N19">
        <v>122</v>
      </c>
    </row>
    <row r="20" spans="1:14">
      <c r="A20">
        <v>35</v>
      </c>
      <c r="B20" s="68">
        <v>43460</v>
      </c>
      <c r="C20" t="s">
        <v>243</v>
      </c>
      <c r="D20" t="s">
        <v>265</v>
      </c>
      <c r="E20">
        <v>30</v>
      </c>
      <c r="F20">
        <v>33</v>
      </c>
      <c r="G20">
        <v>64</v>
      </c>
      <c r="H20">
        <v>67</v>
      </c>
      <c r="I20">
        <v>94</v>
      </c>
      <c r="J20">
        <v>90</v>
      </c>
      <c r="K20">
        <v>119</v>
      </c>
      <c r="L20">
        <v>122</v>
      </c>
      <c r="M20">
        <v>119</v>
      </c>
      <c r="N20">
        <v>122</v>
      </c>
    </row>
    <row r="21" spans="1:14">
      <c r="A21">
        <v>39</v>
      </c>
      <c r="B21" s="68">
        <v>43467</v>
      </c>
      <c r="C21" t="s">
        <v>243</v>
      </c>
      <c r="D21" t="s">
        <v>247</v>
      </c>
      <c r="E21">
        <v>29</v>
      </c>
      <c r="F21">
        <v>39</v>
      </c>
      <c r="G21">
        <v>58</v>
      </c>
      <c r="H21">
        <v>73</v>
      </c>
      <c r="I21">
        <v>87</v>
      </c>
      <c r="J21">
        <v>105</v>
      </c>
      <c r="K21">
        <v>121</v>
      </c>
      <c r="L21">
        <v>126</v>
      </c>
      <c r="M21">
        <v>121</v>
      </c>
      <c r="N21">
        <v>126</v>
      </c>
    </row>
    <row r="22" spans="1:14">
      <c r="A22">
        <v>2</v>
      </c>
      <c r="B22" s="68">
        <v>43392</v>
      </c>
      <c r="C22" t="s">
        <v>244</v>
      </c>
      <c r="D22" t="s">
        <v>262</v>
      </c>
      <c r="E22">
        <v>40</v>
      </c>
      <c r="F22">
        <v>32</v>
      </c>
      <c r="G22">
        <v>72</v>
      </c>
      <c r="H22">
        <v>63</v>
      </c>
      <c r="I22">
        <v>110</v>
      </c>
      <c r="J22">
        <v>90</v>
      </c>
      <c r="K22">
        <v>149</v>
      </c>
      <c r="L22">
        <v>129</v>
      </c>
      <c r="M22">
        <v>149</v>
      </c>
      <c r="N22">
        <v>129</v>
      </c>
    </row>
    <row r="23" spans="1:14">
      <c r="A23">
        <v>3</v>
      </c>
      <c r="B23" s="68">
        <v>43396</v>
      </c>
      <c r="C23" t="s">
        <v>244</v>
      </c>
      <c r="D23" t="s">
        <v>264</v>
      </c>
      <c r="E23">
        <v>27</v>
      </c>
      <c r="F23">
        <v>26</v>
      </c>
      <c r="G23">
        <v>59</v>
      </c>
      <c r="H23">
        <v>62</v>
      </c>
      <c r="I23">
        <v>91</v>
      </c>
      <c r="J23">
        <v>84</v>
      </c>
      <c r="K23">
        <v>116</v>
      </c>
      <c r="L23">
        <v>109</v>
      </c>
      <c r="M23">
        <v>116</v>
      </c>
      <c r="N23">
        <v>109</v>
      </c>
    </row>
    <row r="24" spans="1:14">
      <c r="A24">
        <v>4</v>
      </c>
      <c r="B24" s="68">
        <v>43399</v>
      </c>
      <c r="C24" t="s">
        <v>244</v>
      </c>
      <c r="D24" t="s">
        <v>247</v>
      </c>
      <c r="E24">
        <v>32</v>
      </c>
      <c r="F24">
        <v>30</v>
      </c>
      <c r="G24">
        <v>57</v>
      </c>
      <c r="H24">
        <v>66</v>
      </c>
      <c r="I24">
        <v>88</v>
      </c>
      <c r="J24">
        <v>91</v>
      </c>
      <c r="K24">
        <v>117</v>
      </c>
      <c r="L24">
        <v>115</v>
      </c>
      <c r="M24">
        <v>117</v>
      </c>
      <c r="N24">
        <v>115</v>
      </c>
    </row>
    <row r="25" spans="1:14">
      <c r="A25">
        <v>5</v>
      </c>
      <c r="B25" s="68">
        <v>43400</v>
      </c>
      <c r="C25" t="s">
        <v>244</v>
      </c>
      <c r="D25" t="s">
        <v>261</v>
      </c>
      <c r="E25">
        <v>31</v>
      </c>
      <c r="F25">
        <v>28</v>
      </c>
      <c r="G25">
        <v>49</v>
      </c>
      <c r="H25">
        <v>64</v>
      </c>
      <c r="I25">
        <v>82</v>
      </c>
      <c r="J25">
        <v>102</v>
      </c>
      <c r="K25">
        <v>111</v>
      </c>
      <c r="L25">
        <v>132</v>
      </c>
      <c r="M25">
        <v>111</v>
      </c>
      <c r="N25">
        <v>132</v>
      </c>
    </row>
    <row r="26" spans="1:14">
      <c r="A26">
        <v>11</v>
      </c>
      <c r="B26" s="68">
        <v>43411</v>
      </c>
      <c r="C26" t="s">
        <v>244</v>
      </c>
      <c r="D26" t="s">
        <v>267</v>
      </c>
      <c r="E26">
        <v>29</v>
      </c>
      <c r="F26">
        <v>26</v>
      </c>
      <c r="G26">
        <v>58</v>
      </c>
      <c r="H26">
        <v>50</v>
      </c>
      <c r="I26">
        <v>85</v>
      </c>
      <c r="J26">
        <v>72</v>
      </c>
      <c r="K26">
        <v>107</v>
      </c>
      <c r="L26">
        <v>98</v>
      </c>
      <c r="M26">
        <v>107</v>
      </c>
      <c r="N26">
        <v>98</v>
      </c>
    </row>
    <row r="27" spans="1:14">
      <c r="A27">
        <v>12</v>
      </c>
      <c r="B27" s="68">
        <v>43414</v>
      </c>
      <c r="C27" t="s">
        <v>244</v>
      </c>
      <c r="D27" t="s">
        <v>266</v>
      </c>
      <c r="E27">
        <v>33</v>
      </c>
      <c r="F27">
        <v>26</v>
      </c>
      <c r="G27">
        <v>61</v>
      </c>
      <c r="H27">
        <v>53</v>
      </c>
      <c r="I27">
        <v>91</v>
      </c>
      <c r="J27">
        <v>82</v>
      </c>
      <c r="K27">
        <v>119</v>
      </c>
      <c r="L27">
        <v>99</v>
      </c>
      <c r="M27">
        <v>119</v>
      </c>
      <c r="N27">
        <v>99</v>
      </c>
    </row>
    <row r="28" spans="1:14">
      <c r="A28">
        <v>15</v>
      </c>
      <c r="B28" s="68">
        <v>43420</v>
      </c>
      <c r="C28" t="s">
        <v>244</v>
      </c>
      <c r="D28" t="s">
        <v>254</v>
      </c>
      <c r="E28">
        <v>16</v>
      </c>
      <c r="F28">
        <v>32</v>
      </c>
      <c r="G28">
        <v>54</v>
      </c>
      <c r="H28">
        <v>64</v>
      </c>
      <c r="I28">
        <v>88</v>
      </c>
      <c r="J28">
        <v>96</v>
      </c>
      <c r="K28">
        <v>129</v>
      </c>
      <c r="L28">
        <v>124</v>
      </c>
      <c r="M28">
        <v>129</v>
      </c>
      <c r="N28">
        <v>124</v>
      </c>
    </row>
    <row r="29" spans="1:14">
      <c r="A29">
        <v>16</v>
      </c>
      <c r="B29" s="68">
        <v>43421</v>
      </c>
      <c r="C29" t="s">
        <v>244</v>
      </c>
      <c r="D29" t="s">
        <v>263</v>
      </c>
      <c r="E29">
        <v>37</v>
      </c>
      <c r="F29">
        <v>35</v>
      </c>
      <c r="G29">
        <v>70</v>
      </c>
      <c r="H29">
        <v>67</v>
      </c>
      <c r="I29">
        <v>98</v>
      </c>
      <c r="J29">
        <v>88</v>
      </c>
      <c r="K29">
        <v>125</v>
      </c>
      <c r="L29">
        <v>115</v>
      </c>
      <c r="M29">
        <v>125</v>
      </c>
      <c r="N29">
        <v>115</v>
      </c>
    </row>
    <row r="30" spans="1:14">
      <c r="A30">
        <v>17</v>
      </c>
      <c r="B30" s="68">
        <v>43423</v>
      </c>
      <c r="C30" t="s">
        <v>244</v>
      </c>
      <c r="D30" t="s">
        <v>260</v>
      </c>
      <c r="E30">
        <v>30</v>
      </c>
      <c r="F30">
        <v>39</v>
      </c>
      <c r="G30">
        <v>68</v>
      </c>
      <c r="H30">
        <v>67</v>
      </c>
      <c r="I30">
        <v>108</v>
      </c>
      <c r="J30">
        <v>97</v>
      </c>
      <c r="K30">
        <v>140</v>
      </c>
      <c r="L30">
        <v>126</v>
      </c>
      <c r="M30">
        <v>140</v>
      </c>
      <c r="N30">
        <v>126</v>
      </c>
    </row>
    <row r="31" spans="1:14">
      <c r="A31">
        <v>21</v>
      </c>
      <c r="B31" s="68">
        <v>43430</v>
      </c>
      <c r="C31" t="s">
        <v>244</v>
      </c>
      <c r="D31" t="s">
        <v>240</v>
      </c>
      <c r="E31">
        <v>21</v>
      </c>
      <c r="F31">
        <v>34</v>
      </c>
      <c r="G31">
        <v>48</v>
      </c>
      <c r="H31">
        <v>57</v>
      </c>
      <c r="I31">
        <v>79</v>
      </c>
      <c r="J31">
        <v>89</v>
      </c>
      <c r="K31">
        <v>107</v>
      </c>
      <c r="L31">
        <v>124</v>
      </c>
      <c r="M31">
        <v>107</v>
      </c>
      <c r="N31">
        <v>124</v>
      </c>
    </row>
    <row r="32" spans="1:14">
      <c r="A32">
        <v>22</v>
      </c>
      <c r="B32" s="68">
        <v>43432</v>
      </c>
      <c r="C32" t="s">
        <v>244</v>
      </c>
      <c r="D32" t="s">
        <v>268</v>
      </c>
      <c r="E32">
        <v>31</v>
      </c>
      <c r="F32">
        <v>24</v>
      </c>
      <c r="G32">
        <v>67</v>
      </c>
      <c r="H32">
        <v>47</v>
      </c>
      <c r="I32">
        <v>98</v>
      </c>
      <c r="J32">
        <v>81</v>
      </c>
      <c r="K32">
        <v>125</v>
      </c>
      <c r="L32">
        <v>104</v>
      </c>
      <c r="M32">
        <v>125</v>
      </c>
      <c r="N32">
        <v>104</v>
      </c>
    </row>
    <row r="33" spans="1:14">
      <c r="A33">
        <v>25</v>
      </c>
      <c r="B33" s="68">
        <v>43437</v>
      </c>
      <c r="C33" t="s">
        <v>244</v>
      </c>
      <c r="D33" t="s">
        <v>264</v>
      </c>
      <c r="E33">
        <v>29</v>
      </c>
      <c r="F33">
        <v>36</v>
      </c>
      <c r="G33">
        <v>65</v>
      </c>
      <c r="H33">
        <v>77</v>
      </c>
      <c r="I33">
        <v>97</v>
      </c>
      <c r="J33">
        <v>101</v>
      </c>
      <c r="K33">
        <v>126</v>
      </c>
      <c r="L33">
        <v>129</v>
      </c>
      <c r="M33">
        <v>126</v>
      </c>
      <c r="N33">
        <v>129</v>
      </c>
    </row>
    <row r="34" spans="1:14">
      <c r="A34">
        <v>26</v>
      </c>
      <c r="B34" s="68">
        <v>43439</v>
      </c>
      <c r="C34" t="s">
        <v>244</v>
      </c>
      <c r="D34" t="s">
        <v>265</v>
      </c>
      <c r="E34">
        <v>32</v>
      </c>
      <c r="F34">
        <v>31</v>
      </c>
      <c r="G34">
        <v>69</v>
      </c>
      <c r="H34">
        <v>53</v>
      </c>
      <c r="I34">
        <v>97</v>
      </c>
      <c r="J34">
        <v>80</v>
      </c>
      <c r="K34">
        <v>132</v>
      </c>
      <c r="L34">
        <v>106</v>
      </c>
      <c r="M34">
        <v>132</v>
      </c>
      <c r="N34">
        <v>106</v>
      </c>
    </row>
    <row r="35" spans="1:14">
      <c r="A35">
        <v>27</v>
      </c>
      <c r="B35" s="68">
        <v>43441</v>
      </c>
      <c r="C35" t="s">
        <v>244</v>
      </c>
      <c r="D35" t="s">
        <v>249</v>
      </c>
      <c r="E35">
        <v>30</v>
      </c>
      <c r="F35">
        <v>31</v>
      </c>
      <c r="G35">
        <v>60</v>
      </c>
      <c r="H35">
        <v>58</v>
      </c>
      <c r="I35">
        <v>84</v>
      </c>
      <c r="J35">
        <v>85</v>
      </c>
      <c r="K35">
        <v>103</v>
      </c>
      <c r="L35">
        <v>107</v>
      </c>
      <c r="M35">
        <v>103</v>
      </c>
      <c r="N35">
        <v>107</v>
      </c>
    </row>
    <row r="36" spans="1:14">
      <c r="A36">
        <v>30</v>
      </c>
      <c r="B36" s="68">
        <v>43446</v>
      </c>
      <c r="C36" t="s">
        <v>244</v>
      </c>
      <c r="D36" t="s">
        <v>241</v>
      </c>
      <c r="E36">
        <v>25</v>
      </c>
      <c r="F36">
        <v>28</v>
      </c>
      <c r="G36">
        <v>57</v>
      </c>
      <c r="H36">
        <v>56</v>
      </c>
      <c r="I36">
        <v>89</v>
      </c>
      <c r="J36">
        <v>84</v>
      </c>
      <c r="K36">
        <v>118</v>
      </c>
      <c r="L36">
        <v>114</v>
      </c>
      <c r="M36">
        <v>118</v>
      </c>
      <c r="N36">
        <v>114</v>
      </c>
    </row>
    <row r="37" spans="1:14">
      <c r="A37">
        <v>31</v>
      </c>
      <c r="B37" s="68">
        <v>43450</v>
      </c>
      <c r="C37" t="s">
        <v>244</v>
      </c>
      <c r="D37" t="s">
        <v>251</v>
      </c>
      <c r="E37">
        <v>28</v>
      </c>
      <c r="F37">
        <v>33</v>
      </c>
      <c r="G37">
        <v>51</v>
      </c>
      <c r="H37">
        <v>57</v>
      </c>
      <c r="I37">
        <v>73</v>
      </c>
      <c r="J37">
        <v>85</v>
      </c>
      <c r="K37">
        <v>96</v>
      </c>
      <c r="L37">
        <v>102</v>
      </c>
      <c r="M37">
        <v>96</v>
      </c>
      <c r="N37">
        <v>102</v>
      </c>
    </row>
    <row r="38" spans="1:14">
      <c r="A38">
        <v>36</v>
      </c>
      <c r="B38" s="68">
        <v>43462</v>
      </c>
      <c r="C38" t="s">
        <v>244</v>
      </c>
      <c r="D38" t="s">
        <v>265</v>
      </c>
      <c r="E38">
        <v>26</v>
      </c>
      <c r="F38">
        <v>29</v>
      </c>
      <c r="G38">
        <v>55</v>
      </c>
      <c r="H38">
        <v>66</v>
      </c>
      <c r="I38">
        <v>86</v>
      </c>
      <c r="J38">
        <v>88</v>
      </c>
      <c r="K38">
        <v>114</v>
      </c>
      <c r="L38">
        <v>112</v>
      </c>
      <c r="M38">
        <v>114</v>
      </c>
      <c r="N38">
        <v>112</v>
      </c>
    </row>
    <row r="39" spans="1:14">
      <c r="A39">
        <v>37</v>
      </c>
      <c r="B39" s="68">
        <v>43463</v>
      </c>
      <c r="C39" t="s">
        <v>244</v>
      </c>
      <c r="D39" t="s">
        <v>258</v>
      </c>
      <c r="E39">
        <v>20</v>
      </c>
      <c r="F39">
        <v>30</v>
      </c>
      <c r="G39">
        <v>50</v>
      </c>
      <c r="H39">
        <v>53</v>
      </c>
      <c r="I39">
        <v>76</v>
      </c>
      <c r="J39">
        <v>77</v>
      </c>
      <c r="K39">
        <v>104</v>
      </c>
      <c r="L39">
        <v>108</v>
      </c>
      <c r="M39">
        <v>104</v>
      </c>
      <c r="N39">
        <v>108</v>
      </c>
    </row>
    <row r="40" spans="1:14">
      <c r="A40">
        <v>38</v>
      </c>
      <c r="B40" s="68">
        <v>43465</v>
      </c>
      <c r="C40" t="s">
        <v>244</v>
      </c>
      <c r="D40" t="s">
        <v>259</v>
      </c>
      <c r="E40">
        <v>27</v>
      </c>
      <c r="F40">
        <v>22</v>
      </c>
      <c r="G40">
        <v>63</v>
      </c>
      <c r="H40">
        <v>51</v>
      </c>
      <c r="I40">
        <v>88</v>
      </c>
      <c r="J40">
        <v>89</v>
      </c>
      <c r="K40">
        <v>123</v>
      </c>
      <c r="L40">
        <v>114</v>
      </c>
      <c r="M40">
        <v>123</v>
      </c>
      <c r="N40">
        <v>114</v>
      </c>
    </row>
  </sheetData>
  <sortState xmlns:xlrd2="http://schemas.microsoft.com/office/spreadsheetml/2017/richdata2" ref="A2:R68">
    <sortCondition ref="C1"/>
  </sortState>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1:R39"/>
  <sheetViews>
    <sheetView topLeftCell="S1" workbookViewId="0">
      <selection activeCell="S7" sqref="S7"/>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54296875" customWidth="1"/>
    <col min="20" max="20" width="19.90625" customWidth="1"/>
    <col min="21" max="21" width="22.81640625" customWidth="1"/>
    <col min="22" max="22" width="19.453125" customWidth="1"/>
    <col min="23" max="23" width="23.26953125" customWidth="1"/>
    <col min="24" max="24" width="21" customWidth="1"/>
    <col min="25" max="25" width="24.08984375" customWidth="1"/>
    <col min="26" max="26" width="21.90625" customWidth="1"/>
    <col min="27" max="27" width="25.542968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43390</v>
      </c>
      <c r="C2" t="s">
        <v>243</v>
      </c>
      <c r="D2" t="s">
        <v>262</v>
      </c>
      <c r="E2">
        <v>30</v>
      </c>
      <c r="F2">
        <v>34</v>
      </c>
      <c r="G2">
        <v>68</v>
      </c>
      <c r="H2">
        <v>55</v>
      </c>
      <c r="I2">
        <v>93</v>
      </c>
      <c r="J2">
        <v>87</v>
      </c>
      <c r="K2">
        <v>123</v>
      </c>
      <c r="L2">
        <v>117</v>
      </c>
      <c r="M2">
        <v>123</v>
      </c>
      <c r="N2">
        <v>117</v>
      </c>
    </row>
    <row r="3" spans="1:18">
      <c r="A3">
        <v>4</v>
      </c>
      <c r="B3" s="68">
        <v>43397</v>
      </c>
      <c r="C3" t="s">
        <v>243</v>
      </c>
      <c r="D3" t="s">
        <v>258</v>
      </c>
      <c r="E3">
        <v>24</v>
      </c>
      <c r="F3">
        <v>29</v>
      </c>
      <c r="G3">
        <v>52</v>
      </c>
      <c r="H3">
        <v>44</v>
      </c>
      <c r="I3">
        <v>75</v>
      </c>
      <c r="J3">
        <v>66</v>
      </c>
      <c r="K3">
        <v>100</v>
      </c>
      <c r="L3">
        <v>89</v>
      </c>
      <c r="M3">
        <v>100</v>
      </c>
      <c r="N3">
        <v>89</v>
      </c>
    </row>
    <row r="4" spans="1:18">
      <c r="A4">
        <v>5</v>
      </c>
      <c r="B4" s="68">
        <v>43400</v>
      </c>
      <c r="C4" t="s">
        <v>243</v>
      </c>
      <c r="D4" t="s">
        <v>257</v>
      </c>
      <c r="E4">
        <v>28</v>
      </c>
      <c r="F4">
        <v>31</v>
      </c>
      <c r="G4">
        <v>64</v>
      </c>
      <c r="H4">
        <v>49</v>
      </c>
      <c r="I4">
        <v>102</v>
      </c>
      <c r="J4">
        <v>82</v>
      </c>
      <c r="K4">
        <v>132</v>
      </c>
      <c r="L4">
        <v>111</v>
      </c>
      <c r="M4">
        <v>132</v>
      </c>
      <c r="N4">
        <v>111</v>
      </c>
    </row>
    <row r="5" spans="1:18">
      <c r="A5">
        <v>6</v>
      </c>
      <c r="B5" s="68">
        <v>43401</v>
      </c>
      <c r="C5" t="s">
        <v>243</v>
      </c>
      <c r="D5" t="s">
        <v>265</v>
      </c>
      <c r="E5">
        <v>26</v>
      </c>
      <c r="F5">
        <v>19</v>
      </c>
      <c r="G5">
        <v>50</v>
      </c>
      <c r="H5">
        <v>46</v>
      </c>
      <c r="I5">
        <v>82</v>
      </c>
      <c r="J5">
        <v>77</v>
      </c>
      <c r="K5">
        <v>113</v>
      </c>
      <c r="L5">
        <v>104</v>
      </c>
      <c r="M5">
        <v>113</v>
      </c>
      <c r="N5">
        <v>104</v>
      </c>
    </row>
    <row r="6" spans="1:18">
      <c r="A6">
        <v>7</v>
      </c>
      <c r="B6" s="68">
        <v>43404</v>
      </c>
      <c r="C6" t="s">
        <v>243</v>
      </c>
      <c r="D6" t="s">
        <v>259</v>
      </c>
      <c r="E6">
        <v>25</v>
      </c>
      <c r="F6">
        <v>32</v>
      </c>
      <c r="G6">
        <v>56</v>
      </c>
      <c r="H6">
        <v>65</v>
      </c>
      <c r="I6">
        <v>96</v>
      </c>
      <c r="J6">
        <v>101</v>
      </c>
      <c r="K6">
        <v>125</v>
      </c>
      <c r="L6">
        <v>128</v>
      </c>
      <c r="M6">
        <v>125</v>
      </c>
      <c r="N6">
        <v>128</v>
      </c>
    </row>
    <row r="7" spans="1:18">
      <c r="A7">
        <v>9</v>
      </c>
      <c r="B7" s="68">
        <v>43407</v>
      </c>
      <c r="C7" t="s">
        <v>243</v>
      </c>
      <c r="D7" t="s">
        <v>263</v>
      </c>
      <c r="E7">
        <v>25</v>
      </c>
      <c r="F7">
        <v>25</v>
      </c>
      <c r="G7">
        <v>46</v>
      </c>
      <c r="H7">
        <v>47</v>
      </c>
      <c r="I7">
        <v>73</v>
      </c>
      <c r="J7">
        <v>68</v>
      </c>
      <c r="K7">
        <v>88</v>
      </c>
      <c r="L7">
        <v>103</v>
      </c>
      <c r="M7">
        <v>88</v>
      </c>
      <c r="N7">
        <v>103</v>
      </c>
    </row>
    <row r="8" spans="1:18">
      <c r="A8">
        <v>13</v>
      </c>
      <c r="B8" s="68">
        <v>43416</v>
      </c>
      <c r="C8" t="s">
        <v>243</v>
      </c>
      <c r="D8" t="s">
        <v>249</v>
      </c>
      <c r="E8">
        <v>20</v>
      </c>
      <c r="F8">
        <v>16</v>
      </c>
      <c r="G8">
        <v>40</v>
      </c>
      <c r="H8">
        <v>43</v>
      </c>
      <c r="I8">
        <v>74</v>
      </c>
      <c r="J8">
        <v>69</v>
      </c>
      <c r="K8">
        <v>96</v>
      </c>
      <c r="L8">
        <v>88</v>
      </c>
      <c r="M8">
        <v>96</v>
      </c>
      <c r="N8">
        <v>88</v>
      </c>
    </row>
    <row r="9" spans="1:18">
      <c r="A9">
        <v>14</v>
      </c>
      <c r="B9" s="68">
        <v>43418</v>
      </c>
      <c r="C9" t="s">
        <v>243</v>
      </c>
      <c r="D9" t="s">
        <v>265</v>
      </c>
      <c r="E9">
        <v>24</v>
      </c>
      <c r="F9">
        <v>30</v>
      </c>
      <c r="G9">
        <v>46</v>
      </c>
      <c r="H9">
        <v>58</v>
      </c>
      <c r="I9">
        <v>59</v>
      </c>
      <c r="J9">
        <v>84</v>
      </c>
      <c r="K9">
        <v>68</v>
      </c>
      <c r="L9">
        <v>118</v>
      </c>
      <c r="M9">
        <v>68</v>
      </c>
      <c r="N9">
        <v>118</v>
      </c>
    </row>
    <row r="10" spans="1:18">
      <c r="A10">
        <v>15</v>
      </c>
      <c r="B10" s="68">
        <v>43420</v>
      </c>
      <c r="C10" t="s">
        <v>243</v>
      </c>
      <c r="D10" t="s">
        <v>239</v>
      </c>
      <c r="E10">
        <v>24</v>
      </c>
      <c r="F10">
        <v>38</v>
      </c>
      <c r="G10">
        <v>52</v>
      </c>
      <c r="H10">
        <v>54</v>
      </c>
      <c r="I10">
        <v>84</v>
      </c>
      <c r="J10">
        <v>86</v>
      </c>
      <c r="K10">
        <v>107</v>
      </c>
      <c r="L10">
        <v>113</v>
      </c>
      <c r="M10">
        <v>107</v>
      </c>
      <c r="N10">
        <v>113</v>
      </c>
    </row>
    <row r="11" spans="1:18">
      <c r="A11">
        <v>16</v>
      </c>
      <c r="B11" s="68">
        <v>43421</v>
      </c>
      <c r="C11" t="s">
        <v>243</v>
      </c>
      <c r="D11" t="s">
        <v>240</v>
      </c>
      <c r="E11">
        <v>29</v>
      </c>
      <c r="F11">
        <v>20</v>
      </c>
      <c r="G11">
        <v>50</v>
      </c>
      <c r="H11">
        <v>45</v>
      </c>
      <c r="I11">
        <v>77</v>
      </c>
      <c r="J11">
        <v>62</v>
      </c>
      <c r="K11">
        <v>98</v>
      </c>
      <c r="L11">
        <v>86</v>
      </c>
      <c r="M11">
        <v>98</v>
      </c>
      <c r="N11">
        <v>86</v>
      </c>
    </row>
    <row r="12" spans="1:18">
      <c r="A12">
        <v>17</v>
      </c>
      <c r="B12" s="68">
        <v>43423</v>
      </c>
      <c r="C12" t="s">
        <v>243</v>
      </c>
      <c r="D12" t="s">
        <v>250</v>
      </c>
      <c r="E12">
        <v>19</v>
      </c>
      <c r="F12">
        <v>32</v>
      </c>
      <c r="G12">
        <v>47</v>
      </c>
      <c r="H12">
        <v>57</v>
      </c>
      <c r="I12">
        <v>70</v>
      </c>
      <c r="J12">
        <v>86</v>
      </c>
      <c r="K12">
        <v>94</v>
      </c>
      <c r="L12">
        <v>121</v>
      </c>
      <c r="M12">
        <v>94</v>
      </c>
      <c r="N12">
        <v>121</v>
      </c>
    </row>
    <row r="13" spans="1:18">
      <c r="A13">
        <v>19</v>
      </c>
      <c r="B13" s="68">
        <v>43427</v>
      </c>
      <c r="C13" t="s">
        <v>243</v>
      </c>
      <c r="D13" t="s">
        <v>269</v>
      </c>
      <c r="E13">
        <v>16</v>
      </c>
      <c r="F13">
        <v>22</v>
      </c>
      <c r="G13">
        <v>38</v>
      </c>
      <c r="H13">
        <v>38</v>
      </c>
      <c r="I13">
        <v>63</v>
      </c>
      <c r="J13">
        <v>64</v>
      </c>
      <c r="K13">
        <v>83</v>
      </c>
      <c r="L13">
        <v>90</v>
      </c>
      <c r="M13">
        <v>83</v>
      </c>
      <c r="N13">
        <v>90</v>
      </c>
    </row>
    <row r="14" spans="1:18">
      <c r="A14">
        <v>20</v>
      </c>
      <c r="B14" s="68">
        <v>43429</v>
      </c>
      <c r="C14" t="s">
        <v>243</v>
      </c>
      <c r="D14" t="s">
        <v>262</v>
      </c>
      <c r="E14">
        <v>30</v>
      </c>
      <c r="F14">
        <v>26</v>
      </c>
      <c r="G14">
        <v>59</v>
      </c>
      <c r="H14">
        <v>50</v>
      </c>
      <c r="I14">
        <v>91</v>
      </c>
      <c r="J14">
        <v>80</v>
      </c>
      <c r="K14">
        <v>133</v>
      </c>
      <c r="L14">
        <v>112</v>
      </c>
      <c r="M14">
        <v>133</v>
      </c>
      <c r="N14">
        <v>112</v>
      </c>
    </row>
    <row r="15" spans="1:18">
      <c r="A15">
        <v>22</v>
      </c>
      <c r="B15" s="68">
        <v>43432</v>
      </c>
      <c r="C15" t="s">
        <v>243</v>
      </c>
      <c r="D15" t="s">
        <v>247</v>
      </c>
      <c r="E15">
        <v>17</v>
      </c>
      <c r="F15">
        <v>16</v>
      </c>
      <c r="G15">
        <v>43</v>
      </c>
      <c r="H15">
        <v>42</v>
      </c>
      <c r="I15">
        <v>70</v>
      </c>
      <c r="J15">
        <v>78</v>
      </c>
      <c r="K15">
        <v>101</v>
      </c>
      <c r="L15">
        <v>91</v>
      </c>
      <c r="M15">
        <v>101</v>
      </c>
      <c r="N15">
        <v>91</v>
      </c>
    </row>
    <row r="16" spans="1:18">
      <c r="A16">
        <v>23</v>
      </c>
      <c r="B16" s="68">
        <v>43434</v>
      </c>
      <c r="C16" t="s">
        <v>243</v>
      </c>
      <c r="D16" t="s">
        <v>246</v>
      </c>
      <c r="E16">
        <v>33</v>
      </c>
      <c r="F16">
        <v>19</v>
      </c>
      <c r="G16">
        <v>57</v>
      </c>
      <c r="H16">
        <v>53</v>
      </c>
      <c r="I16">
        <v>91</v>
      </c>
      <c r="J16">
        <v>83</v>
      </c>
      <c r="K16">
        <v>119</v>
      </c>
      <c r="L16">
        <v>111</v>
      </c>
      <c r="M16">
        <v>119</v>
      </c>
      <c r="N16">
        <v>111</v>
      </c>
    </row>
    <row r="17" spans="1:14">
      <c r="A17">
        <v>24</v>
      </c>
      <c r="B17" s="68">
        <v>43436</v>
      </c>
      <c r="C17" t="s">
        <v>243</v>
      </c>
      <c r="D17" t="s">
        <v>251</v>
      </c>
      <c r="E17">
        <v>35</v>
      </c>
      <c r="F17">
        <v>27</v>
      </c>
      <c r="G17">
        <v>55</v>
      </c>
      <c r="H17">
        <v>53</v>
      </c>
      <c r="I17">
        <v>77</v>
      </c>
      <c r="J17">
        <v>80</v>
      </c>
      <c r="K17">
        <v>100</v>
      </c>
      <c r="L17">
        <v>102</v>
      </c>
      <c r="M17">
        <v>100</v>
      </c>
      <c r="N17">
        <v>102</v>
      </c>
    </row>
    <row r="18" spans="1:14">
      <c r="A18">
        <v>27</v>
      </c>
      <c r="B18" s="68">
        <v>43443</v>
      </c>
      <c r="C18" t="s">
        <v>243</v>
      </c>
      <c r="D18" t="s">
        <v>260</v>
      </c>
      <c r="E18">
        <v>18</v>
      </c>
      <c r="F18">
        <v>23</v>
      </c>
      <c r="G18">
        <v>36</v>
      </c>
      <c r="H18">
        <v>54</v>
      </c>
      <c r="I18">
        <v>72</v>
      </c>
      <c r="J18">
        <v>82</v>
      </c>
      <c r="K18">
        <v>97</v>
      </c>
      <c r="L18">
        <v>110</v>
      </c>
      <c r="M18">
        <v>97</v>
      </c>
      <c r="N18">
        <v>110</v>
      </c>
    </row>
    <row r="19" spans="1:14">
      <c r="A19">
        <v>28</v>
      </c>
      <c r="B19" s="68">
        <v>43444</v>
      </c>
      <c r="C19" t="s">
        <v>243</v>
      </c>
      <c r="D19" t="s">
        <v>241</v>
      </c>
      <c r="E19">
        <v>22</v>
      </c>
      <c r="F19">
        <v>30</v>
      </c>
      <c r="G19">
        <v>46</v>
      </c>
      <c r="H19">
        <v>57</v>
      </c>
      <c r="I19">
        <v>75</v>
      </c>
      <c r="J19">
        <v>99</v>
      </c>
      <c r="K19">
        <v>113</v>
      </c>
      <c r="L19">
        <v>122</v>
      </c>
      <c r="M19">
        <v>113</v>
      </c>
      <c r="N19">
        <v>122</v>
      </c>
    </row>
    <row r="20" spans="1:14">
      <c r="A20">
        <v>30</v>
      </c>
      <c r="B20" s="68">
        <v>43449</v>
      </c>
      <c r="C20" t="s">
        <v>243</v>
      </c>
      <c r="D20" t="s">
        <v>252</v>
      </c>
      <c r="E20">
        <v>14</v>
      </c>
      <c r="F20">
        <v>14</v>
      </c>
      <c r="G20">
        <v>35</v>
      </c>
      <c r="H20">
        <v>33</v>
      </c>
      <c r="I20">
        <v>59</v>
      </c>
      <c r="J20">
        <v>55</v>
      </c>
      <c r="K20">
        <v>89</v>
      </c>
      <c r="L20">
        <v>96</v>
      </c>
      <c r="M20">
        <v>89</v>
      </c>
      <c r="N20">
        <v>96</v>
      </c>
    </row>
    <row r="21" spans="1:14">
      <c r="A21">
        <v>31</v>
      </c>
      <c r="B21" s="68">
        <v>43451</v>
      </c>
      <c r="C21" t="s">
        <v>243</v>
      </c>
      <c r="D21" t="s">
        <v>258</v>
      </c>
      <c r="E21">
        <v>23</v>
      </c>
      <c r="F21">
        <v>25</v>
      </c>
      <c r="G21">
        <v>37</v>
      </c>
      <c r="H21">
        <v>50</v>
      </c>
      <c r="I21">
        <v>73</v>
      </c>
      <c r="J21">
        <v>83</v>
      </c>
      <c r="K21">
        <v>97</v>
      </c>
      <c r="L21">
        <v>102</v>
      </c>
      <c r="M21">
        <v>97</v>
      </c>
      <c r="N21">
        <v>102</v>
      </c>
    </row>
    <row r="22" spans="1:14">
      <c r="A22">
        <v>33</v>
      </c>
      <c r="B22" s="68">
        <v>43455</v>
      </c>
      <c r="C22" t="s">
        <v>243</v>
      </c>
      <c r="D22" t="s">
        <v>270</v>
      </c>
      <c r="E22">
        <v>33</v>
      </c>
      <c r="F22">
        <v>26</v>
      </c>
      <c r="G22">
        <v>55</v>
      </c>
      <c r="H22">
        <v>49</v>
      </c>
      <c r="I22">
        <v>83</v>
      </c>
      <c r="J22">
        <v>68</v>
      </c>
      <c r="K22">
        <v>120</v>
      </c>
      <c r="L22">
        <v>90</v>
      </c>
      <c r="M22">
        <v>120</v>
      </c>
      <c r="N22">
        <v>90</v>
      </c>
    </row>
    <row r="23" spans="1:14">
      <c r="A23">
        <v>38</v>
      </c>
      <c r="B23" s="68">
        <v>43466</v>
      </c>
      <c r="C23" t="s">
        <v>243</v>
      </c>
      <c r="D23" t="s">
        <v>256</v>
      </c>
      <c r="E23">
        <v>24</v>
      </c>
      <c r="F23">
        <v>26</v>
      </c>
      <c r="G23">
        <v>53</v>
      </c>
      <c r="H23">
        <v>51</v>
      </c>
      <c r="I23">
        <v>85</v>
      </c>
      <c r="J23">
        <v>95</v>
      </c>
      <c r="K23">
        <v>116</v>
      </c>
      <c r="L23">
        <v>122</v>
      </c>
      <c r="M23">
        <v>116</v>
      </c>
      <c r="N23">
        <v>122</v>
      </c>
    </row>
    <row r="24" spans="1:14">
      <c r="A24">
        <v>2</v>
      </c>
      <c r="B24" s="68">
        <v>43392</v>
      </c>
      <c r="C24" t="s">
        <v>244</v>
      </c>
      <c r="D24" t="s">
        <v>242</v>
      </c>
      <c r="E24">
        <v>34</v>
      </c>
      <c r="F24">
        <v>32</v>
      </c>
      <c r="G24">
        <v>81</v>
      </c>
      <c r="H24">
        <v>69</v>
      </c>
      <c r="I24">
        <v>103</v>
      </c>
      <c r="J24">
        <v>97</v>
      </c>
      <c r="K24">
        <v>123</v>
      </c>
      <c r="L24">
        <v>124</v>
      </c>
      <c r="M24">
        <v>123</v>
      </c>
      <c r="N24">
        <v>124</v>
      </c>
    </row>
    <row r="25" spans="1:14">
      <c r="A25">
        <v>3</v>
      </c>
      <c r="B25" s="68">
        <v>43395</v>
      </c>
      <c r="C25" t="s">
        <v>244</v>
      </c>
      <c r="D25" t="s">
        <v>249</v>
      </c>
      <c r="E25">
        <v>22</v>
      </c>
      <c r="F25">
        <v>19</v>
      </c>
      <c r="G25">
        <v>46</v>
      </c>
      <c r="H25">
        <v>47</v>
      </c>
      <c r="I25">
        <v>63</v>
      </c>
      <c r="J25">
        <v>70</v>
      </c>
      <c r="K25">
        <v>84</v>
      </c>
      <c r="L25">
        <v>92</v>
      </c>
      <c r="M25">
        <v>84</v>
      </c>
      <c r="N25">
        <v>92</v>
      </c>
    </row>
    <row r="26" spans="1:14">
      <c r="A26">
        <v>8</v>
      </c>
      <c r="B26" s="68">
        <v>43406</v>
      </c>
      <c r="C26" t="s">
        <v>244</v>
      </c>
      <c r="D26" t="s">
        <v>249</v>
      </c>
      <c r="E26">
        <v>31</v>
      </c>
      <c r="F26">
        <v>29</v>
      </c>
      <c r="G26">
        <v>60</v>
      </c>
      <c r="H26">
        <v>53</v>
      </c>
      <c r="I26">
        <v>78</v>
      </c>
      <c r="J26">
        <v>83</v>
      </c>
      <c r="K26">
        <v>100</v>
      </c>
      <c r="L26">
        <v>110</v>
      </c>
      <c r="M26">
        <v>100</v>
      </c>
      <c r="N26">
        <v>110</v>
      </c>
    </row>
    <row r="27" spans="1:14">
      <c r="A27">
        <v>10</v>
      </c>
      <c r="B27" s="68">
        <v>43409</v>
      </c>
      <c r="C27" t="s">
        <v>244</v>
      </c>
      <c r="D27" t="s">
        <v>256</v>
      </c>
      <c r="E27">
        <v>31</v>
      </c>
      <c r="F27">
        <v>30</v>
      </c>
      <c r="G27">
        <v>54</v>
      </c>
      <c r="H27">
        <v>65</v>
      </c>
      <c r="I27">
        <v>72</v>
      </c>
      <c r="J27">
        <v>94</v>
      </c>
      <c r="K27">
        <v>111</v>
      </c>
      <c r="L27">
        <v>124</v>
      </c>
      <c r="M27">
        <v>111</v>
      </c>
      <c r="N27">
        <v>124</v>
      </c>
    </row>
    <row r="28" spans="1:14">
      <c r="A28">
        <v>11</v>
      </c>
      <c r="B28" s="68">
        <v>43411</v>
      </c>
      <c r="C28" t="s">
        <v>244</v>
      </c>
      <c r="D28" t="s">
        <v>265</v>
      </c>
      <c r="E28">
        <v>30</v>
      </c>
      <c r="F28">
        <v>18</v>
      </c>
      <c r="G28">
        <v>68</v>
      </c>
      <c r="H28">
        <v>45</v>
      </c>
      <c r="I28">
        <v>99</v>
      </c>
      <c r="J28">
        <v>83</v>
      </c>
      <c r="K28">
        <v>117</v>
      </c>
      <c r="L28">
        <v>102</v>
      </c>
      <c r="M28">
        <v>117</v>
      </c>
      <c r="N28">
        <v>102</v>
      </c>
    </row>
    <row r="29" spans="1:14">
      <c r="A29">
        <v>12</v>
      </c>
      <c r="B29" s="68">
        <v>43413</v>
      </c>
      <c r="C29" t="s">
        <v>244</v>
      </c>
      <c r="D29" t="s">
        <v>240</v>
      </c>
      <c r="E29">
        <v>27</v>
      </c>
      <c r="F29">
        <v>25</v>
      </c>
      <c r="G29">
        <v>58</v>
      </c>
      <c r="H29">
        <v>51</v>
      </c>
      <c r="I29">
        <v>93</v>
      </c>
      <c r="J29">
        <v>80</v>
      </c>
      <c r="K29">
        <v>123</v>
      </c>
      <c r="L29">
        <v>115</v>
      </c>
      <c r="M29">
        <v>123</v>
      </c>
      <c r="N29">
        <v>115</v>
      </c>
    </row>
    <row r="30" spans="1:14">
      <c r="A30">
        <v>18</v>
      </c>
      <c r="B30" s="68">
        <v>43425</v>
      </c>
      <c r="C30" t="s">
        <v>244</v>
      </c>
      <c r="D30" t="s">
        <v>262</v>
      </c>
      <c r="E30">
        <v>23</v>
      </c>
      <c r="F30">
        <v>34</v>
      </c>
      <c r="G30">
        <v>54</v>
      </c>
      <c r="H30">
        <v>60</v>
      </c>
      <c r="I30">
        <v>83</v>
      </c>
      <c r="J30">
        <v>84</v>
      </c>
      <c r="K30">
        <v>110</v>
      </c>
      <c r="L30">
        <v>119</v>
      </c>
      <c r="M30">
        <v>110</v>
      </c>
      <c r="N30">
        <v>119</v>
      </c>
    </row>
    <row r="31" spans="1:14">
      <c r="A31">
        <v>21</v>
      </c>
      <c r="B31" s="68">
        <v>43430</v>
      </c>
      <c r="C31" t="s">
        <v>244</v>
      </c>
      <c r="D31" t="s">
        <v>250</v>
      </c>
      <c r="E31">
        <v>25</v>
      </c>
      <c r="F31">
        <v>33</v>
      </c>
      <c r="G31">
        <v>47</v>
      </c>
      <c r="H31">
        <v>58</v>
      </c>
      <c r="I31">
        <v>70</v>
      </c>
      <c r="J31">
        <v>89</v>
      </c>
      <c r="K31">
        <v>88</v>
      </c>
      <c r="L31">
        <v>121</v>
      </c>
      <c r="M31">
        <v>88</v>
      </c>
      <c r="N31">
        <v>121</v>
      </c>
    </row>
    <row r="32" spans="1:14">
      <c r="A32">
        <v>25</v>
      </c>
      <c r="B32" s="68">
        <v>43438</v>
      </c>
      <c r="C32" t="s">
        <v>244</v>
      </c>
      <c r="D32" t="s">
        <v>260</v>
      </c>
      <c r="E32">
        <v>34</v>
      </c>
      <c r="F32">
        <v>20</v>
      </c>
      <c r="G32">
        <v>63</v>
      </c>
      <c r="H32">
        <v>47</v>
      </c>
      <c r="I32">
        <v>104</v>
      </c>
      <c r="J32">
        <v>78</v>
      </c>
      <c r="K32">
        <v>139</v>
      </c>
      <c r="L32">
        <v>105</v>
      </c>
      <c r="M32">
        <v>139</v>
      </c>
      <c r="N32">
        <v>105</v>
      </c>
    </row>
    <row r="33" spans="1:14">
      <c r="A33">
        <v>26</v>
      </c>
      <c r="B33" s="68">
        <v>43440</v>
      </c>
      <c r="C33" t="s">
        <v>244</v>
      </c>
      <c r="D33" t="s">
        <v>258</v>
      </c>
      <c r="E33">
        <v>27</v>
      </c>
      <c r="F33">
        <v>18</v>
      </c>
      <c r="G33">
        <v>53</v>
      </c>
      <c r="H33">
        <v>45</v>
      </c>
      <c r="I33">
        <v>91</v>
      </c>
      <c r="J33">
        <v>56</v>
      </c>
      <c r="K33">
        <v>118</v>
      </c>
      <c r="L33">
        <v>91</v>
      </c>
      <c r="M33">
        <v>118</v>
      </c>
      <c r="N33">
        <v>91</v>
      </c>
    </row>
    <row r="34" spans="1:14">
      <c r="A34">
        <v>29</v>
      </c>
      <c r="B34" s="68">
        <v>43446</v>
      </c>
      <c r="C34" t="s">
        <v>244</v>
      </c>
      <c r="D34" t="s">
        <v>251</v>
      </c>
      <c r="E34">
        <v>40</v>
      </c>
      <c r="F34">
        <v>15</v>
      </c>
      <c r="G34">
        <v>60</v>
      </c>
      <c r="H34">
        <v>33</v>
      </c>
      <c r="I34">
        <v>92</v>
      </c>
      <c r="J34">
        <v>53</v>
      </c>
      <c r="K34">
        <v>111</v>
      </c>
      <c r="L34">
        <v>84</v>
      </c>
      <c r="M34">
        <v>111</v>
      </c>
      <c r="N34">
        <v>84</v>
      </c>
    </row>
    <row r="35" spans="1:14">
      <c r="A35">
        <v>32</v>
      </c>
      <c r="B35" s="68">
        <v>43453</v>
      </c>
      <c r="C35" t="s">
        <v>244</v>
      </c>
      <c r="D35" t="s">
        <v>242</v>
      </c>
      <c r="E35">
        <v>24</v>
      </c>
      <c r="F35">
        <v>21</v>
      </c>
      <c r="G35">
        <v>56</v>
      </c>
      <c r="H35">
        <v>55</v>
      </c>
      <c r="I35">
        <v>84</v>
      </c>
      <c r="J35">
        <v>80</v>
      </c>
      <c r="K35">
        <v>108</v>
      </c>
      <c r="L35">
        <v>103</v>
      </c>
      <c r="M35">
        <v>108</v>
      </c>
      <c r="N35">
        <v>103</v>
      </c>
    </row>
    <row r="36" spans="1:14">
      <c r="A36">
        <v>34</v>
      </c>
      <c r="B36" s="68">
        <v>43456</v>
      </c>
      <c r="C36" t="s">
        <v>244</v>
      </c>
      <c r="D36" t="s">
        <v>241</v>
      </c>
      <c r="E36">
        <v>32</v>
      </c>
      <c r="F36">
        <v>26</v>
      </c>
      <c r="G36">
        <v>61</v>
      </c>
      <c r="H36">
        <v>58</v>
      </c>
      <c r="I36">
        <v>81</v>
      </c>
      <c r="J36">
        <v>93</v>
      </c>
      <c r="K36">
        <v>106</v>
      </c>
      <c r="L36">
        <v>107</v>
      </c>
      <c r="M36">
        <v>106</v>
      </c>
      <c r="N36">
        <v>107</v>
      </c>
    </row>
    <row r="37" spans="1:14">
      <c r="A37">
        <v>35</v>
      </c>
      <c r="B37" s="68">
        <v>43459</v>
      </c>
      <c r="C37" t="s">
        <v>244</v>
      </c>
      <c r="D37" t="s">
        <v>270</v>
      </c>
      <c r="E37">
        <v>24</v>
      </c>
      <c r="F37">
        <v>24</v>
      </c>
      <c r="G37">
        <v>59</v>
      </c>
      <c r="H37">
        <v>47</v>
      </c>
      <c r="I37">
        <v>83</v>
      </c>
      <c r="J37">
        <v>70</v>
      </c>
      <c r="K37">
        <v>117</v>
      </c>
      <c r="L37">
        <v>96</v>
      </c>
      <c r="M37">
        <v>117</v>
      </c>
      <c r="N37">
        <v>96</v>
      </c>
    </row>
    <row r="38" spans="1:14">
      <c r="A38">
        <v>36</v>
      </c>
      <c r="B38" s="68">
        <v>43461</v>
      </c>
      <c r="C38" t="s">
        <v>244</v>
      </c>
      <c r="D38" t="s">
        <v>239</v>
      </c>
      <c r="E38">
        <v>29</v>
      </c>
      <c r="F38">
        <v>22</v>
      </c>
      <c r="G38">
        <v>52</v>
      </c>
      <c r="H38">
        <v>57</v>
      </c>
      <c r="I38">
        <v>79</v>
      </c>
      <c r="J38">
        <v>95</v>
      </c>
      <c r="K38">
        <v>97</v>
      </c>
      <c r="L38">
        <v>114</v>
      </c>
      <c r="M38">
        <v>97</v>
      </c>
      <c r="N38">
        <v>114</v>
      </c>
    </row>
    <row r="39" spans="1:14">
      <c r="A39">
        <v>37</v>
      </c>
      <c r="B39" s="68">
        <v>43463</v>
      </c>
      <c r="C39" t="s">
        <v>244</v>
      </c>
      <c r="D39" t="s">
        <v>254</v>
      </c>
      <c r="E39">
        <v>39</v>
      </c>
      <c r="F39">
        <v>17</v>
      </c>
      <c r="G39">
        <v>71</v>
      </c>
      <c r="H39">
        <v>34</v>
      </c>
      <c r="I39">
        <v>97</v>
      </c>
      <c r="J39">
        <v>66</v>
      </c>
      <c r="K39">
        <v>129</v>
      </c>
      <c r="L39">
        <v>97</v>
      </c>
      <c r="M39">
        <v>129</v>
      </c>
      <c r="N39">
        <v>97</v>
      </c>
    </row>
  </sheetData>
  <sortState xmlns:xlrd2="http://schemas.microsoft.com/office/spreadsheetml/2017/richdata2" ref="A2:R66">
    <sortCondition ref="C1"/>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A1:R38"/>
  <sheetViews>
    <sheetView topLeftCell="M2" workbookViewId="0">
      <selection activeCell="V2" sqref="V2"/>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43389</v>
      </c>
      <c r="C2" t="s">
        <v>243</v>
      </c>
      <c r="D2" t="s">
        <v>242</v>
      </c>
      <c r="E2">
        <v>23</v>
      </c>
      <c r="F2">
        <v>31</v>
      </c>
      <c r="G2">
        <v>47</v>
      </c>
      <c r="H2">
        <v>57</v>
      </c>
      <c r="I2">
        <v>79</v>
      </c>
      <c r="J2">
        <v>83</v>
      </c>
      <c r="K2">
        <v>100</v>
      </c>
      <c r="L2">
        <v>108</v>
      </c>
      <c r="M2">
        <v>100</v>
      </c>
      <c r="N2">
        <v>108</v>
      </c>
    </row>
    <row r="3" spans="1:18">
      <c r="A3">
        <v>2</v>
      </c>
      <c r="B3" s="68">
        <v>43392</v>
      </c>
      <c r="C3" t="s">
        <v>243</v>
      </c>
      <c r="D3" t="s">
        <v>264</v>
      </c>
      <c r="E3">
        <v>20</v>
      </c>
      <c r="F3">
        <v>27</v>
      </c>
      <c r="G3">
        <v>46</v>
      </c>
      <c r="H3">
        <v>48</v>
      </c>
      <c r="I3">
        <v>77</v>
      </c>
      <c r="J3">
        <v>71</v>
      </c>
      <c r="K3">
        <v>92</v>
      </c>
      <c r="L3">
        <v>108</v>
      </c>
      <c r="M3">
        <v>92</v>
      </c>
      <c r="N3">
        <v>108</v>
      </c>
    </row>
    <row r="4" spans="1:18">
      <c r="A4">
        <v>7</v>
      </c>
      <c r="B4" s="68">
        <v>43405</v>
      </c>
      <c r="C4" t="s">
        <v>243</v>
      </c>
      <c r="D4" t="s">
        <v>246</v>
      </c>
      <c r="E4">
        <v>24</v>
      </c>
      <c r="F4">
        <v>22</v>
      </c>
      <c r="G4">
        <v>44</v>
      </c>
      <c r="H4">
        <v>48</v>
      </c>
      <c r="I4">
        <v>73</v>
      </c>
      <c r="J4">
        <v>77</v>
      </c>
      <c r="K4">
        <v>111</v>
      </c>
      <c r="L4">
        <v>107</v>
      </c>
      <c r="M4">
        <v>111</v>
      </c>
      <c r="N4">
        <v>107</v>
      </c>
    </row>
    <row r="5" spans="1:18">
      <c r="A5">
        <v>8</v>
      </c>
      <c r="B5" s="68">
        <v>43406</v>
      </c>
      <c r="C5" t="s">
        <v>243</v>
      </c>
      <c r="D5" t="s">
        <v>268</v>
      </c>
      <c r="E5">
        <v>35</v>
      </c>
      <c r="F5">
        <v>30</v>
      </c>
      <c r="G5">
        <v>79</v>
      </c>
      <c r="H5">
        <v>50</v>
      </c>
      <c r="I5">
        <v>110</v>
      </c>
      <c r="J5">
        <v>85</v>
      </c>
      <c r="K5">
        <v>134</v>
      </c>
      <c r="L5">
        <v>111</v>
      </c>
      <c r="M5">
        <v>134</v>
      </c>
      <c r="N5">
        <v>111</v>
      </c>
    </row>
    <row r="6" spans="1:18">
      <c r="A6">
        <v>10</v>
      </c>
      <c r="B6" s="68">
        <v>43411</v>
      </c>
      <c r="C6" t="s">
        <v>243</v>
      </c>
      <c r="D6" t="s">
        <v>255</v>
      </c>
      <c r="E6">
        <v>23</v>
      </c>
      <c r="F6">
        <v>20</v>
      </c>
      <c r="G6">
        <v>48</v>
      </c>
      <c r="H6">
        <v>40</v>
      </c>
      <c r="I6">
        <v>71</v>
      </c>
      <c r="J6">
        <v>64</v>
      </c>
      <c r="K6">
        <v>95</v>
      </c>
      <c r="L6">
        <v>86</v>
      </c>
      <c r="M6">
        <v>95</v>
      </c>
      <c r="N6">
        <v>86</v>
      </c>
    </row>
    <row r="7" spans="1:18">
      <c r="A7">
        <v>12</v>
      </c>
      <c r="B7" s="68">
        <v>43414</v>
      </c>
      <c r="C7" t="s">
        <v>243</v>
      </c>
      <c r="D7" t="s">
        <v>265</v>
      </c>
      <c r="E7">
        <v>22</v>
      </c>
      <c r="F7">
        <v>23</v>
      </c>
      <c r="G7">
        <v>45</v>
      </c>
      <c r="H7">
        <v>57</v>
      </c>
      <c r="I7">
        <v>70</v>
      </c>
      <c r="J7">
        <v>82</v>
      </c>
      <c r="K7">
        <v>96</v>
      </c>
      <c r="L7">
        <v>111</v>
      </c>
      <c r="M7">
        <v>96</v>
      </c>
      <c r="N7">
        <v>111</v>
      </c>
    </row>
    <row r="8" spans="1:18">
      <c r="A8">
        <v>15</v>
      </c>
      <c r="B8" s="68">
        <v>43421</v>
      </c>
      <c r="C8" t="s">
        <v>243</v>
      </c>
      <c r="D8" t="s">
        <v>266</v>
      </c>
      <c r="E8">
        <v>30</v>
      </c>
      <c r="F8">
        <v>25</v>
      </c>
      <c r="G8">
        <v>47</v>
      </c>
      <c r="H8">
        <v>42</v>
      </c>
      <c r="I8">
        <v>79</v>
      </c>
      <c r="J8">
        <v>65</v>
      </c>
      <c r="K8">
        <v>110</v>
      </c>
      <c r="L8">
        <v>100</v>
      </c>
      <c r="M8">
        <v>110</v>
      </c>
      <c r="N8">
        <v>100</v>
      </c>
    </row>
    <row r="9" spans="1:18">
      <c r="A9">
        <v>16</v>
      </c>
      <c r="B9" s="68">
        <v>43423</v>
      </c>
      <c r="C9" t="s">
        <v>243</v>
      </c>
      <c r="D9" t="s">
        <v>262</v>
      </c>
      <c r="E9">
        <v>24</v>
      </c>
      <c r="F9">
        <v>37</v>
      </c>
      <c r="G9">
        <v>56</v>
      </c>
      <c r="H9">
        <v>69</v>
      </c>
      <c r="I9">
        <v>85</v>
      </c>
      <c r="J9">
        <v>84</v>
      </c>
      <c r="K9">
        <v>113</v>
      </c>
      <c r="L9">
        <v>117</v>
      </c>
      <c r="M9">
        <v>113</v>
      </c>
      <c r="N9">
        <v>117</v>
      </c>
    </row>
    <row r="10" spans="1:18">
      <c r="A10">
        <v>17</v>
      </c>
      <c r="B10" s="68">
        <v>43425</v>
      </c>
      <c r="C10" t="s">
        <v>243</v>
      </c>
      <c r="D10" t="s">
        <v>242</v>
      </c>
      <c r="E10">
        <v>23</v>
      </c>
      <c r="F10">
        <v>18</v>
      </c>
      <c r="G10">
        <v>60</v>
      </c>
      <c r="H10">
        <v>46</v>
      </c>
      <c r="I10">
        <v>87</v>
      </c>
      <c r="J10">
        <v>79</v>
      </c>
      <c r="K10">
        <v>123</v>
      </c>
      <c r="L10">
        <v>95</v>
      </c>
      <c r="M10">
        <v>123</v>
      </c>
      <c r="N10">
        <v>95</v>
      </c>
    </row>
    <row r="11" spans="1:18">
      <c r="A11">
        <v>22</v>
      </c>
      <c r="B11" s="68">
        <v>43437</v>
      </c>
      <c r="C11" t="s">
        <v>243</v>
      </c>
      <c r="D11" t="s">
        <v>248</v>
      </c>
      <c r="E11">
        <v>26</v>
      </c>
      <c r="F11">
        <v>17</v>
      </c>
      <c r="G11">
        <v>50</v>
      </c>
      <c r="H11">
        <v>40</v>
      </c>
      <c r="I11">
        <v>87</v>
      </c>
      <c r="J11">
        <v>59</v>
      </c>
      <c r="K11">
        <v>110</v>
      </c>
      <c r="L11">
        <v>83</v>
      </c>
      <c r="M11">
        <v>110</v>
      </c>
      <c r="N11">
        <v>83</v>
      </c>
    </row>
    <row r="12" spans="1:18">
      <c r="A12">
        <v>23</v>
      </c>
      <c r="B12" s="68">
        <v>43439</v>
      </c>
      <c r="C12" t="s">
        <v>243</v>
      </c>
      <c r="D12" t="s">
        <v>247</v>
      </c>
      <c r="E12">
        <v>24</v>
      </c>
      <c r="F12">
        <v>26</v>
      </c>
      <c r="G12">
        <v>46</v>
      </c>
      <c r="H12">
        <v>62</v>
      </c>
      <c r="I12">
        <v>75</v>
      </c>
      <c r="J12">
        <v>93</v>
      </c>
      <c r="K12">
        <v>114</v>
      </c>
      <c r="L12">
        <v>112</v>
      </c>
      <c r="M12">
        <v>114</v>
      </c>
      <c r="N12">
        <v>112</v>
      </c>
    </row>
    <row r="13" spans="1:18">
      <c r="A13">
        <v>24</v>
      </c>
      <c r="B13" s="68">
        <v>43441</v>
      </c>
      <c r="C13" t="s">
        <v>243</v>
      </c>
      <c r="D13" t="s">
        <v>267</v>
      </c>
      <c r="E13">
        <v>28</v>
      </c>
      <c r="F13">
        <v>34</v>
      </c>
      <c r="G13">
        <v>62</v>
      </c>
      <c r="H13">
        <v>70</v>
      </c>
      <c r="I13">
        <v>91</v>
      </c>
      <c r="J13">
        <v>87</v>
      </c>
      <c r="K13">
        <v>112</v>
      </c>
      <c r="L13">
        <v>114</v>
      </c>
      <c r="M13">
        <v>112</v>
      </c>
      <c r="N13">
        <v>114</v>
      </c>
    </row>
    <row r="14" spans="1:18">
      <c r="A14">
        <v>26</v>
      </c>
      <c r="B14" s="68">
        <v>43446</v>
      </c>
      <c r="C14" t="s">
        <v>243</v>
      </c>
      <c r="D14" t="s">
        <v>257</v>
      </c>
      <c r="E14">
        <v>28</v>
      </c>
      <c r="F14">
        <v>25</v>
      </c>
      <c r="G14">
        <v>56</v>
      </c>
      <c r="H14">
        <v>57</v>
      </c>
      <c r="I14">
        <v>84</v>
      </c>
      <c r="J14">
        <v>89</v>
      </c>
      <c r="K14">
        <v>114</v>
      </c>
      <c r="L14">
        <v>118</v>
      </c>
      <c r="M14">
        <v>114</v>
      </c>
      <c r="N14">
        <v>118</v>
      </c>
    </row>
    <row r="15" spans="1:18">
      <c r="A15">
        <v>27</v>
      </c>
      <c r="B15" s="68">
        <v>43448</v>
      </c>
      <c r="C15" t="s">
        <v>243</v>
      </c>
      <c r="D15" t="s">
        <v>263</v>
      </c>
      <c r="E15">
        <v>32</v>
      </c>
      <c r="F15">
        <v>39</v>
      </c>
      <c r="G15">
        <v>52</v>
      </c>
      <c r="H15">
        <v>60</v>
      </c>
      <c r="I15">
        <v>76</v>
      </c>
      <c r="J15">
        <v>82</v>
      </c>
      <c r="K15">
        <v>98</v>
      </c>
      <c r="L15">
        <v>109</v>
      </c>
      <c r="M15">
        <v>98</v>
      </c>
      <c r="N15">
        <v>109</v>
      </c>
    </row>
    <row r="16" spans="1:18">
      <c r="A16">
        <v>30</v>
      </c>
      <c r="B16" s="68">
        <v>43453</v>
      </c>
      <c r="C16" t="s">
        <v>243</v>
      </c>
      <c r="D16" t="s">
        <v>262</v>
      </c>
      <c r="E16">
        <v>36</v>
      </c>
      <c r="F16">
        <v>33</v>
      </c>
      <c r="G16">
        <v>71</v>
      </c>
      <c r="H16">
        <v>52</v>
      </c>
      <c r="I16">
        <v>98</v>
      </c>
      <c r="J16">
        <v>89</v>
      </c>
      <c r="K16">
        <v>132</v>
      </c>
      <c r="L16">
        <v>113</v>
      </c>
      <c r="M16">
        <v>132</v>
      </c>
      <c r="N16">
        <v>113</v>
      </c>
    </row>
    <row r="17" spans="1:14">
      <c r="A17">
        <v>31</v>
      </c>
      <c r="B17" s="68">
        <v>43456</v>
      </c>
      <c r="C17" t="s">
        <v>243</v>
      </c>
      <c r="D17" t="s">
        <v>261</v>
      </c>
      <c r="E17">
        <v>26</v>
      </c>
      <c r="F17">
        <v>32</v>
      </c>
      <c r="G17">
        <v>58</v>
      </c>
      <c r="H17">
        <v>61</v>
      </c>
      <c r="I17">
        <v>93</v>
      </c>
      <c r="J17">
        <v>81</v>
      </c>
      <c r="K17">
        <v>107</v>
      </c>
      <c r="L17">
        <v>106</v>
      </c>
      <c r="M17">
        <v>107</v>
      </c>
      <c r="N17">
        <v>106</v>
      </c>
    </row>
    <row r="18" spans="1:14">
      <c r="A18">
        <v>33</v>
      </c>
      <c r="B18" s="68">
        <v>43459</v>
      </c>
      <c r="C18" t="s">
        <v>243</v>
      </c>
      <c r="D18" t="s">
        <v>258</v>
      </c>
      <c r="E18">
        <v>22</v>
      </c>
      <c r="F18">
        <v>22</v>
      </c>
      <c r="G18">
        <v>60</v>
      </c>
      <c r="H18">
        <v>52</v>
      </c>
      <c r="I18">
        <v>88</v>
      </c>
      <c r="J18">
        <v>86</v>
      </c>
      <c r="K18">
        <v>109</v>
      </c>
      <c r="L18">
        <v>113</v>
      </c>
      <c r="M18">
        <v>109</v>
      </c>
      <c r="N18">
        <v>113</v>
      </c>
    </row>
    <row r="19" spans="1:14">
      <c r="A19">
        <v>34</v>
      </c>
      <c r="B19" s="68">
        <v>43462</v>
      </c>
      <c r="C19" t="s">
        <v>243</v>
      </c>
      <c r="D19" t="s">
        <v>266</v>
      </c>
      <c r="E19">
        <v>36</v>
      </c>
      <c r="F19">
        <v>29</v>
      </c>
      <c r="G19">
        <v>58</v>
      </c>
      <c r="H19">
        <v>57</v>
      </c>
      <c r="I19">
        <v>81</v>
      </c>
      <c r="J19">
        <v>84</v>
      </c>
      <c r="K19">
        <v>118</v>
      </c>
      <c r="L19">
        <v>102</v>
      </c>
      <c r="M19">
        <v>118</v>
      </c>
      <c r="N19">
        <v>102</v>
      </c>
    </row>
    <row r="20" spans="1:14">
      <c r="A20">
        <v>35</v>
      </c>
      <c r="B20" s="68">
        <v>43464</v>
      </c>
      <c r="C20" t="s">
        <v>243</v>
      </c>
      <c r="D20" t="s">
        <v>265</v>
      </c>
      <c r="E20">
        <v>28</v>
      </c>
      <c r="F20">
        <v>27</v>
      </c>
      <c r="G20">
        <v>59</v>
      </c>
      <c r="H20">
        <v>57</v>
      </c>
      <c r="I20">
        <v>73</v>
      </c>
      <c r="J20">
        <v>84</v>
      </c>
      <c r="K20">
        <v>103</v>
      </c>
      <c r="L20">
        <v>105</v>
      </c>
      <c r="M20">
        <v>103</v>
      </c>
      <c r="N20">
        <v>105</v>
      </c>
    </row>
    <row r="21" spans="1:14">
      <c r="A21">
        <v>37</v>
      </c>
      <c r="B21" s="68">
        <v>43467</v>
      </c>
      <c r="C21" t="s">
        <v>243</v>
      </c>
      <c r="D21" t="s">
        <v>269</v>
      </c>
      <c r="E21">
        <v>25</v>
      </c>
      <c r="F21">
        <v>25</v>
      </c>
      <c r="G21">
        <v>59</v>
      </c>
      <c r="H21">
        <v>57</v>
      </c>
      <c r="I21">
        <v>78</v>
      </c>
      <c r="J21">
        <v>82</v>
      </c>
      <c r="K21">
        <v>107</v>
      </c>
      <c r="L21">
        <v>100</v>
      </c>
      <c r="M21">
        <v>107</v>
      </c>
      <c r="N21">
        <v>100</v>
      </c>
    </row>
    <row r="22" spans="1:14">
      <c r="A22">
        <v>3</v>
      </c>
      <c r="B22" s="68">
        <v>43394</v>
      </c>
      <c r="C22" t="s">
        <v>244</v>
      </c>
      <c r="D22" t="s">
        <v>262</v>
      </c>
      <c r="E22">
        <v>32</v>
      </c>
      <c r="F22">
        <v>34</v>
      </c>
      <c r="G22">
        <v>56</v>
      </c>
      <c r="H22">
        <v>68</v>
      </c>
      <c r="I22">
        <v>90</v>
      </c>
      <c r="J22">
        <v>97</v>
      </c>
      <c r="K22">
        <v>120</v>
      </c>
      <c r="L22">
        <v>131</v>
      </c>
      <c r="M22">
        <v>120</v>
      </c>
      <c r="N22">
        <v>131</v>
      </c>
    </row>
    <row r="23" spans="1:14">
      <c r="A23">
        <v>4</v>
      </c>
      <c r="B23" s="68">
        <v>43398</v>
      </c>
      <c r="C23" t="s">
        <v>244</v>
      </c>
      <c r="D23" t="s">
        <v>240</v>
      </c>
      <c r="E23">
        <v>22</v>
      </c>
      <c r="F23">
        <v>16</v>
      </c>
      <c r="G23">
        <v>50</v>
      </c>
      <c r="H23">
        <v>34</v>
      </c>
      <c r="I23">
        <v>73</v>
      </c>
      <c r="J23">
        <v>74</v>
      </c>
      <c r="K23">
        <v>95</v>
      </c>
      <c r="L23">
        <v>101</v>
      </c>
      <c r="M23">
        <v>95</v>
      </c>
      <c r="N23">
        <v>101</v>
      </c>
    </row>
    <row r="24" spans="1:14">
      <c r="A24">
        <v>5</v>
      </c>
      <c r="B24" s="68">
        <v>43401</v>
      </c>
      <c r="C24" t="s">
        <v>244</v>
      </c>
      <c r="D24" t="s">
        <v>266</v>
      </c>
      <c r="E24">
        <v>30</v>
      </c>
      <c r="F24">
        <v>20</v>
      </c>
      <c r="G24">
        <v>62</v>
      </c>
      <c r="H24">
        <v>48</v>
      </c>
      <c r="I24">
        <v>96</v>
      </c>
      <c r="J24">
        <v>76</v>
      </c>
      <c r="K24">
        <v>117</v>
      </c>
      <c r="L24">
        <v>110</v>
      </c>
      <c r="M24">
        <v>117</v>
      </c>
      <c r="N24">
        <v>110</v>
      </c>
    </row>
    <row r="25" spans="1:14">
      <c r="A25">
        <v>6</v>
      </c>
      <c r="B25" s="68">
        <v>43403</v>
      </c>
      <c r="C25" t="s">
        <v>244</v>
      </c>
      <c r="D25" t="s">
        <v>264</v>
      </c>
      <c r="E25">
        <v>25</v>
      </c>
      <c r="F25">
        <v>33</v>
      </c>
      <c r="G25">
        <v>54</v>
      </c>
      <c r="H25">
        <v>67</v>
      </c>
      <c r="I25">
        <v>93</v>
      </c>
      <c r="J25">
        <v>77</v>
      </c>
      <c r="K25">
        <v>128</v>
      </c>
      <c r="L25">
        <v>110</v>
      </c>
      <c r="M25">
        <v>128</v>
      </c>
      <c r="N25">
        <v>110</v>
      </c>
    </row>
    <row r="26" spans="1:14">
      <c r="A26">
        <v>9</v>
      </c>
      <c r="B26" s="68">
        <v>43409</v>
      </c>
      <c r="C26" t="s">
        <v>244</v>
      </c>
      <c r="D26" t="s">
        <v>257</v>
      </c>
      <c r="E26">
        <v>36</v>
      </c>
      <c r="F26">
        <v>28</v>
      </c>
      <c r="G26">
        <v>62</v>
      </c>
      <c r="H26">
        <v>63</v>
      </c>
      <c r="I26">
        <v>100</v>
      </c>
      <c r="J26">
        <v>86</v>
      </c>
      <c r="K26">
        <v>122</v>
      </c>
      <c r="L26">
        <v>116</v>
      </c>
      <c r="M26">
        <v>122</v>
      </c>
      <c r="N26">
        <v>116</v>
      </c>
    </row>
    <row r="27" spans="1:14">
      <c r="A27">
        <v>11</v>
      </c>
      <c r="B27" s="68">
        <v>43412</v>
      </c>
      <c r="C27" t="s">
        <v>244</v>
      </c>
      <c r="D27" t="s">
        <v>258</v>
      </c>
      <c r="E27">
        <v>29</v>
      </c>
      <c r="F27">
        <v>19</v>
      </c>
      <c r="G27">
        <v>59</v>
      </c>
      <c r="H27">
        <v>45</v>
      </c>
      <c r="I27">
        <v>80</v>
      </c>
      <c r="J27">
        <v>60</v>
      </c>
      <c r="K27">
        <v>98</v>
      </c>
      <c r="L27">
        <v>80</v>
      </c>
      <c r="M27">
        <v>98</v>
      </c>
      <c r="N27">
        <v>80</v>
      </c>
    </row>
    <row r="28" spans="1:14">
      <c r="A28">
        <v>13</v>
      </c>
      <c r="B28" s="68">
        <v>43416</v>
      </c>
      <c r="C28" t="s">
        <v>244</v>
      </c>
      <c r="D28" t="s">
        <v>266</v>
      </c>
      <c r="E28">
        <v>32</v>
      </c>
      <c r="F28">
        <v>13</v>
      </c>
      <c r="G28">
        <v>64</v>
      </c>
      <c r="H28">
        <v>40</v>
      </c>
      <c r="I28">
        <v>86</v>
      </c>
      <c r="J28">
        <v>75</v>
      </c>
      <c r="K28">
        <v>118</v>
      </c>
      <c r="L28">
        <v>101</v>
      </c>
      <c r="M28">
        <v>118</v>
      </c>
      <c r="N28">
        <v>101</v>
      </c>
    </row>
    <row r="29" spans="1:14">
      <c r="A29">
        <v>14</v>
      </c>
      <c r="B29" s="68">
        <v>43418</v>
      </c>
      <c r="C29" t="s">
        <v>244</v>
      </c>
      <c r="D29" t="s">
        <v>254</v>
      </c>
      <c r="E29">
        <v>37</v>
      </c>
      <c r="F29">
        <v>22</v>
      </c>
      <c r="G29">
        <v>65</v>
      </c>
      <c r="H29">
        <v>49</v>
      </c>
      <c r="I29">
        <v>100</v>
      </c>
      <c r="J29">
        <v>80</v>
      </c>
      <c r="K29">
        <v>128</v>
      </c>
      <c r="L29">
        <v>103</v>
      </c>
      <c r="M29">
        <v>128</v>
      </c>
      <c r="N29">
        <v>103</v>
      </c>
    </row>
    <row r="30" spans="1:14">
      <c r="A30">
        <v>18</v>
      </c>
      <c r="B30" s="68">
        <v>43427</v>
      </c>
      <c r="C30" t="s">
        <v>244</v>
      </c>
      <c r="D30" t="s">
        <v>246</v>
      </c>
      <c r="E30">
        <v>33</v>
      </c>
      <c r="F30">
        <v>31</v>
      </c>
      <c r="G30">
        <v>62</v>
      </c>
      <c r="H30">
        <v>57</v>
      </c>
      <c r="I30">
        <v>89</v>
      </c>
      <c r="J30">
        <v>80</v>
      </c>
      <c r="K30">
        <v>109</v>
      </c>
      <c r="L30">
        <v>104</v>
      </c>
      <c r="M30">
        <v>109</v>
      </c>
      <c r="N30">
        <v>104</v>
      </c>
    </row>
    <row r="31" spans="1:14">
      <c r="A31">
        <v>19</v>
      </c>
      <c r="B31" s="68">
        <v>43428</v>
      </c>
      <c r="C31" t="s">
        <v>244</v>
      </c>
      <c r="D31" t="s">
        <v>263</v>
      </c>
      <c r="E31">
        <v>23</v>
      </c>
      <c r="F31">
        <v>33</v>
      </c>
      <c r="G31">
        <v>42</v>
      </c>
      <c r="H31">
        <v>63</v>
      </c>
      <c r="I31">
        <v>66</v>
      </c>
      <c r="J31">
        <v>79</v>
      </c>
      <c r="K31">
        <v>98</v>
      </c>
      <c r="L31">
        <v>105</v>
      </c>
      <c r="M31">
        <v>98</v>
      </c>
      <c r="N31">
        <v>105</v>
      </c>
    </row>
    <row r="32" spans="1:14">
      <c r="A32">
        <v>20</v>
      </c>
      <c r="B32" s="68">
        <v>43432</v>
      </c>
      <c r="C32" t="s">
        <v>244</v>
      </c>
      <c r="D32" t="s">
        <v>255</v>
      </c>
      <c r="E32">
        <v>21</v>
      </c>
      <c r="F32">
        <v>28</v>
      </c>
      <c r="G32">
        <v>47</v>
      </c>
      <c r="H32">
        <v>47</v>
      </c>
      <c r="I32">
        <v>73</v>
      </c>
      <c r="J32">
        <v>62</v>
      </c>
      <c r="K32">
        <v>100</v>
      </c>
      <c r="L32">
        <v>83</v>
      </c>
      <c r="M32">
        <v>100</v>
      </c>
      <c r="N32">
        <v>83</v>
      </c>
    </row>
    <row r="33" spans="1:14">
      <c r="A33">
        <v>21</v>
      </c>
      <c r="B33" s="68">
        <v>43434</v>
      </c>
      <c r="C33" t="s">
        <v>244</v>
      </c>
      <c r="D33" t="s">
        <v>253</v>
      </c>
      <c r="E33">
        <v>28</v>
      </c>
      <c r="F33">
        <v>26</v>
      </c>
      <c r="G33">
        <v>66</v>
      </c>
      <c r="H33">
        <v>46</v>
      </c>
      <c r="I33">
        <v>91</v>
      </c>
      <c r="J33">
        <v>76</v>
      </c>
      <c r="K33">
        <v>124</v>
      </c>
      <c r="L33">
        <v>109</v>
      </c>
      <c r="M33">
        <v>124</v>
      </c>
      <c r="N33">
        <v>109</v>
      </c>
    </row>
    <row r="34" spans="1:14">
      <c r="A34">
        <v>25</v>
      </c>
      <c r="B34" s="68">
        <v>43444</v>
      </c>
      <c r="C34" t="s">
        <v>244</v>
      </c>
      <c r="D34" t="s">
        <v>261</v>
      </c>
      <c r="E34">
        <v>30</v>
      </c>
      <c r="F34">
        <v>22</v>
      </c>
      <c r="G34">
        <v>57</v>
      </c>
      <c r="H34">
        <v>46</v>
      </c>
      <c r="I34">
        <v>99</v>
      </c>
      <c r="J34">
        <v>75</v>
      </c>
      <c r="K34">
        <v>122</v>
      </c>
      <c r="L34">
        <v>113</v>
      </c>
      <c r="M34">
        <v>122</v>
      </c>
      <c r="N34">
        <v>113</v>
      </c>
    </row>
    <row r="35" spans="1:14">
      <c r="A35">
        <v>28</v>
      </c>
      <c r="B35" s="68">
        <v>43449</v>
      </c>
      <c r="C35" t="s">
        <v>244</v>
      </c>
      <c r="D35" t="s">
        <v>264</v>
      </c>
      <c r="E35">
        <v>30</v>
      </c>
      <c r="F35">
        <v>25</v>
      </c>
      <c r="G35">
        <v>61</v>
      </c>
      <c r="H35">
        <v>50</v>
      </c>
      <c r="I35">
        <v>86</v>
      </c>
      <c r="J35">
        <v>69</v>
      </c>
      <c r="K35">
        <v>110</v>
      </c>
      <c r="L35">
        <v>104</v>
      </c>
      <c r="M35">
        <v>110</v>
      </c>
      <c r="N35">
        <v>104</v>
      </c>
    </row>
    <row r="36" spans="1:14">
      <c r="A36">
        <v>29</v>
      </c>
      <c r="B36" s="68">
        <v>43451</v>
      </c>
      <c r="C36" t="s">
        <v>244</v>
      </c>
      <c r="D36" t="s">
        <v>267</v>
      </c>
      <c r="E36">
        <v>31</v>
      </c>
      <c r="F36">
        <v>22</v>
      </c>
      <c r="G36">
        <v>64</v>
      </c>
      <c r="H36">
        <v>44</v>
      </c>
      <c r="I36">
        <v>88</v>
      </c>
      <c r="J36">
        <v>69</v>
      </c>
      <c r="K36">
        <v>121</v>
      </c>
      <c r="L36">
        <v>96</v>
      </c>
      <c r="M36">
        <v>121</v>
      </c>
      <c r="N36">
        <v>96</v>
      </c>
    </row>
    <row r="37" spans="1:14">
      <c r="A37">
        <v>32</v>
      </c>
      <c r="B37" s="68">
        <v>43457</v>
      </c>
      <c r="C37" t="s">
        <v>244</v>
      </c>
      <c r="D37" t="s">
        <v>259</v>
      </c>
      <c r="E37">
        <v>25</v>
      </c>
      <c r="F37">
        <v>35</v>
      </c>
      <c r="G37">
        <v>63</v>
      </c>
      <c r="H37">
        <v>53</v>
      </c>
      <c r="I37">
        <v>80</v>
      </c>
      <c r="J37">
        <v>86</v>
      </c>
      <c r="K37">
        <v>112</v>
      </c>
      <c r="L37">
        <v>114</v>
      </c>
      <c r="M37">
        <v>112</v>
      </c>
      <c r="N37">
        <v>114</v>
      </c>
    </row>
    <row r="38" spans="1:14">
      <c r="A38">
        <v>36</v>
      </c>
      <c r="B38" s="68">
        <v>43465</v>
      </c>
      <c r="C38" t="s">
        <v>244</v>
      </c>
      <c r="D38" t="s">
        <v>265</v>
      </c>
      <c r="E38">
        <v>32</v>
      </c>
      <c r="F38">
        <v>21</v>
      </c>
      <c r="G38">
        <v>60</v>
      </c>
      <c r="H38">
        <v>43</v>
      </c>
      <c r="I38">
        <v>92</v>
      </c>
      <c r="J38">
        <v>75</v>
      </c>
      <c r="K38">
        <v>122</v>
      </c>
      <c r="L38">
        <v>102</v>
      </c>
      <c r="M38">
        <v>122</v>
      </c>
      <c r="N38">
        <v>102</v>
      </c>
    </row>
  </sheetData>
  <sortState xmlns:xlrd2="http://schemas.microsoft.com/office/spreadsheetml/2017/richdata2" ref="A2:R62">
    <sortCondition ref="C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dimension ref="A1:AA38"/>
  <sheetViews>
    <sheetView topLeftCell="S1" workbookViewId="0">
      <selection activeCell="V3" sqref="V3"/>
    </sheetView>
  </sheetViews>
  <sheetFormatPr defaultRowHeight="14.5"/>
  <cols>
    <col min="1" max="1" width="2.6328125" bestFit="1" customWidth="1"/>
    <col min="2" max="2" width="12.90625"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1796875" customWidth="1"/>
    <col min="20" max="20" width="19.90625" customWidth="1"/>
    <col min="21" max="21" width="23.26953125" customWidth="1"/>
    <col min="22" max="22" width="23.453125" customWidth="1"/>
    <col min="23" max="23" width="26.08984375" customWidth="1"/>
    <col min="24" max="24" width="22" customWidth="1"/>
    <col min="25" max="25" width="24.54296875" customWidth="1"/>
    <col min="26" max="26" width="22" customWidth="1"/>
    <col min="27" max="27" width="26.54296875" customWidth="1"/>
  </cols>
  <sheetData>
    <row r="1" spans="1:27">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c r="S1" t="s">
        <v>273</v>
      </c>
      <c r="T1" t="s">
        <v>274</v>
      </c>
      <c r="U1" t="s">
        <v>276</v>
      </c>
      <c r="V1" t="s">
        <v>274</v>
      </c>
      <c r="W1" t="s">
        <v>276</v>
      </c>
      <c r="X1" t="s">
        <v>278</v>
      </c>
      <c r="Y1" t="s">
        <v>279</v>
      </c>
      <c r="Z1" t="s">
        <v>280</v>
      </c>
      <c r="AA1" t="s">
        <v>281</v>
      </c>
    </row>
    <row r="2" spans="1:27">
      <c r="A2">
        <v>1</v>
      </c>
      <c r="B2" s="68">
        <v>43390</v>
      </c>
      <c r="C2" t="s">
        <v>243</v>
      </c>
      <c r="D2" t="s">
        <v>266</v>
      </c>
      <c r="E2">
        <v>24</v>
      </c>
      <c r="F2">
        <v>37</v>
      </c>
      <c r="G2">
        <v>46</v>
      </c>
      <c r="H2">
        <v>56</v>
      </c>
      <c r="I2">
        <v>73</v>
      </c>
      <c r="J2">
        <v>83</v>
      </c>
      <c r="K2">
        <v>100</v>
      </c>
      <c r="L2">
        <v>121</v>
      </c>
      <c r="M2">
        <v>100</v>
      </c>
      <c r="N2">
        <v>121</v>
      </c>
      <c r="Q2">
        <f>M2-G2</f>
        <v>54</v>
      </c>
      <c r="R2">
        <f>N2-H2</f>
        <v>65</v>
      </c>
      <c r="S2">
        <f>G2-H2</f>
        <v>-10</v>
      </c>
      <c r="T2" t="s">
        <v>275</v>
      </c>
      <c r="U2" t="s">
        <v>275</v>
      </c>
      <c r="V2" t="s">
        <v>277</v>
      </c>
      <c r="W2" t="s">
        <v>277</v>
      </c>
      <c r="X2">
        <f>AVERAGE(M2:M20)</f>
        <v>108.42105263157895</v>
      </c>
      <c r="Y2">
        <f>AVERAGE(N2:N20)</f>
        <v>113.31578947368421</v>
      </c>
      <c r="Z2">
        <f>AVERAGE(G2:G20)</f>
        <v>55.421052631578945</v>
      </c>
      <c r="AA2">
        <f>AVERAGE(H2:H20)</f>
        <v>58.157894736842103</v>
      </c>
    </row>
    <row r="3" spans="1:27">
      <c r="A3">
        <v>4</v>
      </c>
      <c r="B3" s="68">
        <v>43397</v>
      </c>
      <c r="C3" t="s">
        <v>243</v>
      </c>
      <c r="D3" t="s">
        <v>253</v>
      </c>
      <c r="E3">
        <v>42</v>
      </c>
      <c r="F3">
        <v>22</v>
      </c>
      <c r="G3">
        <v>58</v>
      </c>
      <c r="H3">
        <v>48</v>
      </c>
      <c r="I3">
        <v>87</v>
      </c>
      <c r="J3">
        <v>80</v>
      </c>
      <c r="K3">
        <v>104</v>
      </c>
      <c r="L3">
        <v>111</v>
      </c>
      <c r="M3">
        <v>104</v>
      </c>
      <c r="N3">
        <v>111</v>
      </c>
      <c r="Q3">
        <f t="shared" ref="Q3:Q20" si="0">M3-G3</f>
        <v>46</v>
      </c>
      <c r="R3">
        <f t="shared" ref="R3:R20" si="1">N3-H3</f>
        <v>63</v>
      </c>
      <c r="S3">
        <f t="shared" ref="S3:S20" si="2">G3-H3</f>
        <v>10</v>
      </c>
      <c r="T3">
        <f>AVERAGEIF(S2:S20,"&gt;0",Q2:Q20)</f>
        <v>50</v>
      </c>
      <c r="U3">
        <f>AVERAGEIF(S2:S20,"&gt;0",R2:R20)</f>
        <v>55.571428571428569</v>
      </c>
      <c r="V3">
        <f>AVERAGEIF(S2:S20,"&lt;0",Q2:Q20)</f>
        <v>54.75</v>
      </c>
      <c r="W3">
        <f>AVERAGEIF(S2:S20,"&lt;0",R2:R20)</f>
        <v>54.916666666666664</v>
      </c>
    </row>
    <row r="4" spans="1:27">
      <c r="A4">
        <v>5</v>
      </c>
      <c r="B4" s="68">
        <v>43399</v>
      </c>
      <c r="C4" t="s">
        <v>243</v>
      </c>
      <c r="D4" t="s">
        <v>256</v>
      </c>
      <c r="E4">
        <v>26</v>
      </c>
      <c r="F4">
        <v>39</v>
      </c>
      <c r="G4">
        <v>60</v>
      </c>
      <c r="H4">
        <v>69</v>
      </c>
      <c r="I4">
        <v>89</v>
      </c>
      <c r="J4">
        <v>92</v>
      </c>
      <c r="K4">
        <v>107</v>
      </c>
      <c r="L4">
        <v>116</v>
      </c>
      <c r="M4">
        <v>107</v>
      </c>
      <c r="N4">
        <v>116</v>
      </c>
      <c r="Q4">
        <f t="shared" si="0"/>
        <v>47</v>
      </c>
      <c r="R4">
        <f t="shared" si="1"/>
        <v>47</v>
      </c>
      <c r="S4">
        <f t="shared" si="2"/>
        <v>-9</v>
      </c>
    </row>
    <row r="5" spans="1:27">
      <c r="A5">
        <v>7</v>
      </c>
      <c r="B5" s="68">
        <v>43402</v>
      </c>
      <c r="C5" t="s">
        <v>243</v>
      </c>
      <c r="D5" t="s">
        <v>260</v>
      </c>
      <c r="E5">
        <v>18</v>
      </c>
      <c r="F5">
        <v>20</v>
      </c>
      <c r="G5">
        <v>45</v>
      </c>
      <c r="H5">
        <v>53</v>
      </c>
      <c r="I5">
        <v>74</v>
      </c>
      <c r="J5">
        <v>76</v>
      </c>
      <c r="K5">
        <v>102</v>
      </c>
      <c r="L5">
        <v>102</v>
      </c>
      <c r="M5">
        <v>108</v>
      </c>
      <c r="N5">
        <v>113</v>
      </c>
      <c r="O5">
        <v>108</v>
      </c>
      <c r="P5">
        <v>113</v>
      </c>
      <c r="Q5">
        <f t="shared" si="0"/>
        <v>63</v>
      </c>
      <c r="R5">
        <f t="shared" si="1"/>
        <v>60</v>
      </c>
      <c r="S5">
        <f t="shared" si="2"/>
        <v>-8</v>
      </c>
    </row>
    <row r="6" spans="1:27">
      <c r="A6">
        <v>8</v>
      </c>
      <c r="B6" s="68">
        <v>43404</v>
      </c>
      <c r="C6" t="s">
        <v>243</v>
      </c>
      <c r="D6" t="s">
        <v>269</v>
      </c>
      <c r="E6">
        <v>21</v>
      </c>
      <c r="F6">
        <v>38</v>
      </c>
      <c r="G6">
        <v>59</v>
      </c>
      <c r="H6">
        <v>66</v>
      </c>
      <c r="I6">
        <v>81</v>
      </c>
      <c r="J6">
        <v>94</v>
      </c>
      <c r="K6">
        <v>113</v>
      </c>
      <c r="L6">
        <v>114</v>
      </c>
      <c r="M6">
        <v>113</v>
      </c>
      <c r="N6">
        <v>114</v>
      </c>
      <c r="Q6">
        <f t="shared" si="0"/>
        <v>54</v>
      </c>
      <c r="R6">
        <f t="shared" si="1"/>
        <v>48</v>
      </c>
      <c r="S6">
        <f t="shared" si="2"/>
        <v>-7</v>
      </c>
    </row>
    <row r="7" spans="1:27">
      <c r="A7">
        <v>11</v>
      </c>
      <c r="B7" s="68">
        <v>43411</v>
      </c>
      <c r="C7" t="s">
        <v>243</v>
      </c>
      <c r="D7" t="s">
        <v>261</v>
      </c>
      <c r="E7">
        <v>18</v>
      </c>
      <c r="F7">
        <v>30</v>
      </c>
      <c r="G7">
        <v>45</v>
      </c>
      <c r="H7">
        <v>68</v>
      </c>
      <c r="I7">
        <v>83</v>
      </c>
      <c r="J7">
        <v>99</v>
      </c>
      <c r="K7">
        <v>102</v>
      </c>
      <c r="L7">
        <v>117</v>
      </c>
      <c r="M7">
        <v>102</v>
      </c>
      <c r="N7">
        <v>117</v>
      </c>
      <c r="Q7">
        <f t="shared" si="0"/>
        <v>57</v>
      </c>
      <c r="R7">
        <f t="shared" si="1"/>
        <v>49</v>
      </c>
      <c r="S7">
        <f t="shared" si="2"/>
        <v>-23</v>
      </c>
    </row>
    <row r="8" spans="1:27">
      <c r="A8">
        <v>13</v>
      </c>
      <c r="B8" s="68">
        <v>43416</v>
      </c>
      <c r="C8" t="s">
        <v>243</v>
      </c>
      <c r="D8" t="s">
        <v>267</v>
      </c>
      <c r="E8">
        <v>25</v>
      </c>
      <c r="F8">
        <v>20</v>
      </c>
      <c r="G8">
        <v>56</v>
      </c>
      <c r="H8">
        <v>49</v>
      </c>
      <c r="I8">
        <v>78</v>
      </c>
      <c r="J8">
        <v>75</v>
      </c>
      <c r="K8">
        <v>103</v>
      </c>
      <c r="L8">
        <v>98</v>
      </c>
      <c r="M8">
        <v>103</v>
      </c>
      <c r="N8">
        <v>98</v>
      </c>
      <c r="Q8">
        <f t="shared" si="0"/>
        <v>47</v>
      </c>
      <c r="R8">
        <f t="shared" si="1"/>
        <v>49</v>
      </c>
      <c r="S8">
        <f t="shared" si="2"/>
        <v>7</v>
      </c>
    </row>
    <row r="9" spans="1:27">
      <c r="A9">
        <v>16</v>
      </c>
      <c r="B9" s="68">
        <v>43423</v>
      </c>
      <c r="C9" t="s">
        <v>243</v>
      </c>
      <c r="D9" t="s">
        <v>249</v>
      </c>
      <c r="E9">
        <v>21</v>
      </c>
      <c r="F9">
        <v>25</v>
      </c>
      <c r="G9">
        <v>49</v>
      </c>
      <c r="H9">
        <v>53</v>
      </c>
      <c r="I9">
        <v>74</v>
      </c>
      <c r="J9">
        <v>74</v>
      </c>
      <c r="K9">
        <v>88</v>
      </c>
      <c r="L9">
        <v>98</v>
      </c>
      <c r="M9">
        <v>88</v>
      </c>
      <c r="N9">
        <v>98</v>
      </c>
      <c r="Q9">
        <f t="shared" si="0"/>
        <v>39</v>
      </c>
      <c r="R9">
        <f t="shared" si="1"/>
        <v>45</v>
      </c>
      <c r="S9">
        <f t="shared" si="2"/>
        <v>-4</v>
      </c>
    </row>
    <row r="10" spans="1:27">
      <c r="A10">
        <v>19</v>
      </c>
      <c r="B10" s="68">
        <v>43432</v>
      </c>
      <c r="C10" t="s">
        <v>243</v>
      </c>
      <c r="D10" t="s">
        <v>258</v>
      </c>
      <c r="E10">
        <v>36</v>
      </c>
      <c r="F10">
        <v>28</v>
      </c>
      <c r="G10">
        <v>74</v>
      </c>
      <c r="H10">
        <v>56</v>
      </c>
      <c r="I10">
        <v>96</v>
      </c>
      <c r="J10">
        <v>89</v>
      </c>
      <c r="K10">
        <v>128</v>
      </c>
      <c r="L10">
        <v>108</v>
      </c>
      <c r="M10">
        <v>128</v>
      </c>
      <c r="N10">
        <v>108</v>
      </c>
      <c r="Q10">
        <f t="shared" si="0"/>
        <v>54</v>
      </c>
      <c r="R10">
        <f t="shared" si="1"/>
        <v>52</v>
      </c>
      <c r="S10">
        <f t="shared" si="2"/>
        <v>18</v>
      </c>
    </row>
    <row r="11" spans="1:27">
      <c r="A11">
        <v>20</v>
      </c>
      <c r="B11" s="68">
        <v>43434</v>
      </c>
      <c r="C11" t="s">
        <v>243</v>
      </c>
      <c r="D11" t="s">
        <v>269</v>
      </c>
      <c r="E11">
        <v>32</v>
      </c>
      <c r="F11">
        <v>22</v>
      </c>
      <c r="G11">
        <v>58</v>
      </c>
      <c r="H11">
        <v>53</v>
      </c>
      <c r="I11">
        <v>75</v>
      </c>
      <c r="J11">
        <v>78</v>
      </c>
      <c r="K11">
        <v>103</v>
      </c>
      <c r="L11">
        <v>114</v>
      </c>
      <c r="M11">
        <v>103</v>
      </c>
      <c r="N11">
        <v>114</v>
      </c>
      <c r="Q11">
        <f t="shared" si="0"/>
        <v>45</v>
      </c>
      <c r="R11">
        <f t="shared" si="1"/>
        <v>61</v>
      </c>
      <c r="S11">
        <f t="shared" si="2"/>
        <v>5</v>
      </c>
    </row>
    <row r="12" spans="1:27">
      <c r="A12">
        <v>23</v>
      </c>
      <c r="B12" s="68">
        <v>43439</v>
      </c>
      <c r="C12" t="s">
        <v>243</v>
      </c>
      <c r="D12" t="s">
        <v>257</v>
      </c>
      <c r="E12">
        <v>31</v>
      </c>
      <c r="F12">
        <v>32</v>
      </c>
      <c r="G12">
        <v>53</v>
      </c>
      <c r="H12">
        <v>69</v>
      </c>
      <c r="I12">
        <v>80</v>
      </c>
      <c r="J12">
        <v>97</v>
      </c>
      <c r="K12">
        <v>106</v>
      </c>
      <c r="L12">
        <v>132</v>
      </c>
      <c r="M12">
        <v>106</v>
      </c>
      <c r="N12">
        <v>132</v>
      </c>
      <c r="Q12">
        <f t="shared" si="0"/>
        <v>53</v>
      </c>
      <c r="R12">
        <f t="shared" si="1"/>
        <v>63</v>
      </c>
      <c r="S12">
        <f t="shared" si="2"/>
        <v>-16</v>
      </c>
    </row>
    <row r="13" spans="1:27">
      <c r="A13">
        <v>27</v>
      </c>
      <c r="B13" s="68">
        <v>43447</v>
      </c>
      <c r="C13" t="s">
        <v>243</v>
      </c>
      <c r="D13" t="s">
        <v>266</v>
      </c>
      <c r="E13">
        <v>21</v>
      </c>
      <c r="F13">
        <v>25</v>
      </c>
      <c r="G13">
        <v>40</v>
      </c>
      <c r="H13">
        <v>50</v>
      </c>
      <c r="I13">
        <v>67</v>
      </c>
      <c r="J13">
        <v>78</v>
      </c>
      <c r="K13">
        <v>89</v>
      </c>
      <c r="L13">
        <v>99</v>
      </c>
      <c r="M13">
        <v>89</v>
      </c>
      <c r="N13">
        <v>99</v>
      </c>
      <c r="Q13">
        <f t="shared" si="0"/>
        <v>49</v>
      </c>
      <c r="R13">
        <f t="shared" si="1"/>
        <v>49</v>
      </c>
      <c r="S13">
        <f t="shared" si="2"/>
        <v>-10</v>
      </c>
    </row>
    <row r="14" spans="1:27">
      <c r="A14">
        <v>29</v>
      </c>
      <c r="B14" s="68">
        <v>43452</v>
      </c>
      <c r="C14" t="s">
        <v>243</v>
      </c>
      <c r="D14" t="s">
        <v>263</v>
      </c>
      <c r="E14">
        <v>33</v>
      </c>
      <c r="F14">
        <v>34</v>
      </c>
      <c r="G14">
        <v>69</v>
      </c>
      <c r="H14">
        <v>74</v>
      </c>
      <c r="I14">
        <v>95</v>
      </c>
      <c r="J14">
        <v>105</v>
      </c>
      <c r="K14">
        <v>118</v>
      </c>
      <c r="L14">
        <v>126</v>
      </c>
      <c r="M14">
        <v>118</v>
      </c>
      <c r="N14">
        <v>126</v>
      </c>
      <c r="Q14">
        <f t="shared" si="0"/>
        <v>49</v>
      </c>
      <c r="R14">
        <f t="shared" si="1"/>
        <v>52</v>
      </c>
      <c r="S14">
        <f t="shared" si="2"/>
        <v>-5</v>
      </c>
    </row>
    <row r="15" spans="1:27">
      <c r="A15">
        <v>30</v>
      </c>
      <c r="B15" s="68">
        <v>43454</v>
      </c>
      <c r="C15" t="s">
        <v>243</v>
      </c>
      <c r="D15" t="s">
        <v>264</v>
      </c>
      <c r="E15">
        <v>27</v>
      </c>
      <c r="F15">
        <v>30</v>
      </c>
      <c r="G15">
        <v>54</v>
      </c>
      <c r="H15">
        <v>65</v>
      </c>
      <c r="I15">
        <v>82</v>
      </c>
      <c r="J15">
        <v>89</v>
      </c>
      <c r="K15">
        <v>121</v>
      </c>
      <c r="L15">
        <v>125</v>
      </c>
      <c r="M15">
        <v>121</v>
      </c>
      <c r="N15">
        <v>125</v>
      </c>
      <c r="Q15">
        <f t="shared" si="0"/>
        <v>67</v>
      </c>
      <c r="R15">
        <f t="shared" si="1"/>
        <v>60</v>
      </c>
      <c r="S15">
        <f t="shared" si="2"/>
        <v>-11</v>
      </c>
    </row>
    <row r="16" spans="1:27">
      <c r="A16">
        <v>31</v>
      </c>
      <c r="B16" s="68">
        <v>43456</v>
      </c>
      <c r="C16" t="s">
        <v>243</v>
      </c>
      <c r="D16" t="s">
        <v>242</v>
      </c>
      <c r="E16">
        <v>31</v>
      </c>
      <c r="F16">
        <v>28</v>
      </c>
      <c r="G16">
        <v>61</v>
      </c>
      <c r="H16">
        <v>58</v>
      </c>
      <c r="I16">
        <v>87</v>
      </c>
      <c r="J16">
        <v>94</v>
      </c>
      <c r="K16">
        <v>116</v>
      </c>
      <c r="L16">
        <v>120</v>
      </c>
      <c r="M16">
        <v>116</v>
      </c>
      <c r="N16">
        <v>120</v>
      </c>
      <c r="Q16">
        <f t="shared" si="0"/>
        <v>55</v>
      </c>
      <c r="R16">
        <f t="shared" si="1"/>
        <v>62</v>
      </c>
      <c r="S16">
        <f t="shared" si="2"/>
        <v>3</v>
      </c>
    </row>
    <row r="17" spans="1:19">
      <c r="A17">
        <v>32</v>
      </c>
      <c r="B17" s="68">
        <v>43457</v>
      </c>
      <c r="C17" t="s">
        <v>243</v>
      </c>
      <c r="D17" t="s">
        <v>270</v>
      </c>
      <c r="E17">
        <v>27</v>
      </c>
      <c r="F17">
        <v>25</v>
      </c>
      <c r="G17">
        <v>52</v>
      </c>
      <c r="H17">
        <v>62</v>
      </c>
      <c r="I17">
        <v>80</v>
      </c>
      <c r="J17">
        <v>88</v>
      </c>
      <c r="K17">
        <v>107</v>
      </c>
      <c r="L17">
        <v>107</v>
      </c>
      <c r="M17">
        <v>118</v>
      </c>
      <c r="N17">
        <v>121</v>
      </c>
      <c r="O17">
        <v>118</v>
      </c>
      <c r="P17">
        <v>121</v>
      </c>
      <c r="Q17">
        <f t="shared" si="0"/>
        <v>66</v>
      </c>
      <c r="R17">
        <f t="shared" si="1"/>
        <v>59</v>
      </c>
      <c r="S17">
        <f t="shared" si="2"/>
        <v>-10</v>
      </c>
    </row>
    <row r="18" spans="1:19">
      <c r="A18">
        <v>34</v>
      </c>
      <c r="B18" s="68">
        <v>43462</v>
      </c>
      <c r="C18" t="s">
        <v>243</v>
      </c>
      <c r="D18" t="s">
        <v>257</v>
      </c>
      <c r="E18">
        <v>29</v>
      </c>
      <c r="F18">
        <v>26</v>
      </c>
      <c r="G18">
        <v>66</v>
      </c>
      <c r="H18">
        <v>55</v>
      </c>
      <c r="I18">
        <v>88</v>
      </c>
      <c r="J18">
        <v>86</v>
      </c>
      <c r="K18">
        <v>112</v>
      </c>
      <c r="L18">
        <v>114</v>
      </c>
      <c r="M18">
        <v>112</v>
      </c>
      <c r="N18">
        <v>114</v>
      </c>
      <c r="Q18">
        <f t="shared" si="0"/>
        <v>46</v>
      </c>
      <c r="R18">
        <f t="shared" si="1"/>
        <v>59</v>
      </c>
      <c r="S18">
        <f t="shared" si="2"/>
        <v>11</v>
      </c>
    </row>
    <row r="19" spans="1:19">
      <c r="A19">
        <v>36</v>
      </c>
      <c r="B19" s="68">
        <v>43465</v>
      </c>
      <c r="C19" t="s">
        <v>243</v>
      </c>
      <c r="D19" t="s">
        <v>241</v>
      </c>
      <c r="E19">
        <v>21</v>
      </c>
      <c r="F19">
        <v>32</v>
      </c>
      <c r="G19">
        <v>43</v>
      </c>
      <c r="H19">
        <v>60</v>
      </c>
      <c r="I19">
        <v>75</v>
      </c>
      <c r="J19">
        <v>92</v>
      </c>
      <c r="K19">
        <v>102</v>
      </c>
      <c r="L19">
        <v>122</v>
      </c>
      <c r="M19">
        <v>102</v>
      </c>
      <c r="N19">
        <v>122</v>
      </c>
      <c r="Q19">
        <f t="shared" si="0"/>
        <v>59</v>
      </c>
      <c r="R19">
        <f t="shared" si="1"/>
        <v>62</v>
      </c>
      <c r="S19">
        <f t="shared" si="2"/>
        <v>-17</v>
      </c>
    </row>
    <row r="20" spans="1:19">
      <c r="A20">
        <v>37</v>
      </c>
      <c r="B20" s="68">
        <v>43467</v>
      </c>
      <c r="C20" t="s">
        <v>243</v>
      </c>
      <c r="D20" t="s">
        <v>246</v>
      </c>
      <c r="E20">
        <v>42</v>
      </c>
      <c r="F20">
        <v>26</v>
      </c>
      <c r="G20">
        <v>65</v>
      </c>
      <c r="H20">
        <v>41</v>
      </c>
      <c r="I20">
        <v>94</v>
      </c>
      <c r="J20">
        <v>65</v>
      </c>
      <c r="K20">
        <v>122</v>
      </c>
      <c r="L20">
        <v>84</v>
      </c>
      <c r="M20">
        <v>122</v>
      </c>
      <c r="N20">
        <v>84</v>
      </c>
      <c r="Q20">
        <f t="shared" si="0"/>
        <v>57</v>
      </c>
      <c r="R20">
        <f t="shared" si="1"/>
        <v>43</v>
      </c>
      <c r="S20">
        <f t="shared" si="2"/>
        <v>24</v>
      </c>
    </row>
    <row r="21" spans="1:19">
      <c r="A21">
        <v>2</v>
      </c>
      <c r="B21" s="68">
        <v>43393</v>
      </c>
      <c r="C21" t="s">
        <v>244</v>
      </c>
      <c r="D21" t="s">
        <v>259</v>
      </c>
      <c r="E21">
        <v>37</v>
      </c>
      <c r="F21">
        <v>46</v>
      </c>
      <c r="G21">
        <v>69</v>
      </c>
      <c r="H21">
        <v>69</v>
      </c>
      <c r="I21">
        <v>97</v>
      </c>
      <c r="J21">
        <v>99</v>
      </c>
      <c r="K21">
        <v>140</v>
      </c>
      <c r="L21">
        <v>136</v>
      </c>
      <c r="M21">
        <v>140</v>
      </c>
      <c r="N21">
        <v>136</v>
      </c>
    </row>
    <row r="22" spans="1:19">
      <c r="A22">
        <v>3</v>
      </c>
      <c r="B22" s="68">
        <v>43395</v>
      </c>
      <c r="C22" t="s">
        <v>244</v>
      </c>
      <c r="D22" t="s">
        <v>267</v>
      </c>
      <c r="E22">
        <v>31</v>
      </c>
      <c r="F22">
        <v>28</v>
      </c>
      <c r="G22">
        <v>59</v>
      </c>
      <c r="H22">
        <v>61</v>
      </c>
      <c r="I22">
        <v>88</v>
      </c>
      <c r="J22">
        <v>84</v>
      </c>
      <c r="K22">
        <v>115</v>
      </c>
      <c r="L22">
        <v>109</v>
      </c>
      <c r="M22">
        <v>115</v>
      </c>
      <c r="N22">
        <v>109</v>
      </c>
    </row>
    <row r="23" spans="1:19">
      <c r="A23">
        <v>6</v>
      </c>
      <c r="B23" s="68">
        <v>43401</v>
      </c>
      <c r="C23" t="s">
        <v>244</v>
      </c>
      <c r="D23" t="s">
        <v>261</v>
      </c>
      <c r="E23">
        <v>19</v>
      </c>
      <c r="F23">
        <v>26</v>
      </c>
      <c r="G23">
        <v>46</v>
      </c>
      <c r="H23">
        <v>50</v>
      </c>
      <c r="I23">
        <v>77</v>
      </c>
      <c r="J23">
        <v>82</v>
      </c>
      <c r="K23">
        <v>104</v>
      </c>
      <c r="L23">
        <v>113</v>
      </c>
      <c r="M23">
        <v>104</v>
      </c>
      <c r="N23">
        <v>113</v>
      </c>
    </row>
    <row r="24" spans="1:19">
      <c r="A24">
        <v>9</v>
      </c>
      <c r="B24" s="68">
        <v>43406</v>
      </c>
      <c r="C24" t="s">
        <v>244</v>
      </c>
      <c r="D24" t="s">
        <v>254</v>
      </c>
      <c r="E24">
        <v>27</v>
      </c>
      <c r="F24">
        <v>33</v>
      </c>
      <c r="G24">
        <v>59</v>
      </c>
      <c r="H24">
        <v>56</v>
      </c>
      <c r="I24">
        <v>77</v>
      </c>
      <c r="J24">
        <v>89</v>
      </c>
      <c r="K24">
        <v>106</v>
      </c>
      <c r="L24">
        <v>118</v>
      </c>
      <c r="M24">
        <v>106</v>
      </c>
      <c r="N24">
        <v>118</v>
      </c>
    </row>
    <row r="25" spans="1:19">
      <c r="A25">
        <v>10</v>
      </c>
      <c r="B25" s="68">
        <v>43410</v>
      </c>
      <c r="C25" t="s">
        <v>244</v>
      </c>
      <c r="D25" t="s">
        <v>268</v>
      </c>
      <c r="E25">
        <v>35</v>
      </c>
      <c r="F25">
        <v>24</v>
      </c>
      <c r="G25">
        <v>70</v>
      </c>
      <c r="H25">
        <v>49</v>
      </c>
      <c r="I25">
        <v>87</v>
      </c>
      <c r="J25">
        <v>78</v>
      </c>
      <c r="K25">
        <v>119</v>
      </c>
      <c r="L25">
        <v>100</v>
      </c>
      <c r="M25">
        <v>119</v>
      </c>
      <c r="N25">
        <v>100</v>
      </c>
    </row>
    <row r="26" spans="1:19">
      <c r="A26">
        <v>12</v>
      </c>
      <c r="B26" s="68">
        <v>43414</v>
      </c>
      <c r="C26" t="s">
        <v>244</v>
      </c>
      <c r="D26" t="s">
        <v>241</v>
      </c>
      <c r="E26">
        <v>23</v>
      </c>
      <c r="F26">
        <v>22</v>
      </c>
      <c r="G26">
        <v>57</v>
      </c>
      <c r="H26">
        <v>45</v>
      </c>
      <c r="I26">
        <v>82</v>
      </c>
      <c r="J26">
        <v>70</v>
      </c>
      <c r="K26">
        <v>111</v>
      </c>
      <c r="L26">
        <v>96</v>
      </c>
      <c r="M26">
        <v>111</v>
      </c>
      <c r="N26">
        <v>96</v>
      </c>
    </row>
    <row r="27" spans="1:19">
      <c r="A27">
        <v>14</v>
      </c>
      <c r="B27" s="68">
        <v>43418</v>
      </c>
      <c r="C27" t="s">
        <v>244</v>
      </c>
      <c r="D27" t="s">
        <v>261</v>
      </c>
      <c r="E27">
        <v>30</v>
      </c>
      <c r="F27">
        <v>24</v>
      </c>
      <c r="G27">
        <v>58</v>
      </c>
      <c r="H27">
        <v>46</v>
      </c>
      <c r="I27">
        <v>84</v>
      </c>
      <c r="J27">
        <v>59</v>
      </c>
      <c r="K27">
        <v>118</v>
      </c>
      <c r="L27">
        <v>68</v>
      </c>
      <c r="M27">
        <v>118</v>
      </c>
      <c r="N27">
        <v>68</v>
      </c>
    </row>
    <row r="28" spans="1:19">
      <c r="A28">
        <v>15</v>
      </c>
      <c r="B28" s="68">
        <v>43421</v>
      </c>
      <c r="C28" t="s">
        <v>244</v>
      </c>
      <c r="D28" t="s">
        <v>242</v>
      </c>
      <c r="E28">
        <v>26</v>
      </c>
      <c r="F28">
        <v>22</v>
      </c>
      <c r="G28">
        <v>57</v>
      </c>
      <c r="H28">
        <v>59</v>
      </c>
      <c r="I28">
        <v>82</v>
      </c>
      <c r="J28">
        <v>86</v>
      </c>
      <c r="K28">
        <v>112</v>
      </c>
      <c r="L28">
        <v>109</v>
      </c>
      <c r="M28">
        <v>112</v>
      </c>
      <c r="N28">
        <v>109</v>
      </c>
    </row>
    <row r="29" spans="1:19">
      <c r="A29">
        <v>17</v>
      </c>
      <c r="B29" s="68">
        <v>43425</v>
      </c>
      <c r="C29" t="s">
        <v>244</v>
      </c>
      <c r="D29" t="s">
        <v>247</v>
      </c>
      <c r="E29">
        <v>34</v>
      </c>
      <c r="F29">
        <v>32</v>
      </c>
      <c r="G29">
        <v>61</v>
      </c>
      <c r="H29">
        <v>50</v>
      </c>
      <c r="I29">
        <v>85</v>
      </c>
      <c r="J29">
        <v>81</v>
      </c>
      <c r="K29">
        <v>119</v>
      </c>
      <c r="L29">
        <v>113</v>
      </c>
      <c r="M29">
        <v>119</v>
      </c>
      <c r="N29">
        <v>113</v>
      </c>
    </row>
    <row r="30" spans="1:19">
      <c r="A30">
        <v>18</v>
      </c>
      <c r="B30" s="68">
        <v>43428</v>
      </c>
      <c r="C30" t="s">
        <v>244</v>
      </c>
      <c r="D30" t="s">
        <v>240</v>
      </c>
      <c r="E30">
        <v>32</v>
      </c>
      <c r="F30">
        <v>26</v>
      </c>
      <c r="G30">
        <v>59</v>
      </c>
      <c r="H30">
        <v>56</v>
      </c>
      <c r="I30">
        <v>87</v>
      </c>
      <c r="J30">
        <v>82</v>
      </c>
      <c r="K30">
        <v>113</v>
      </c>
      <c r="L30">
        <v>104</v>
      </c>
      <c r="M30">
        <v>113</v>
      </c>
      <c r="N30">
        <v>104</v>
      </c>
    </row>
    <row r="31" spans="1:19">
      <c r="A31">
        <v>21</v>
      </c>
      <c r="B31" s="68">
        <v>43436</v>
      </c>
      <c r="C31" t="s">
        <v>244</v>
      </c>
      <c r="D31" t="s">
        <v>264</v>
      </c>
      <c r="E31">
        <v>34</v>
      </c>
      <c r="F31">
        <v>35</v>
      </c>
      <c r="G31">
        <v>62</v>
      </c>
      <c r="H31">
        <v>58</v>
      </c>
      <c r="I31">
        <v>88</v>
      </c>
      <c r="J31">
        <v>80</v>
      </c>
      <c r="K31">
        <v>114</v>
      </c>
      <c r="L31">
        <v>110</v>
      </c>
      <c r="M31">
        <v>114</v>
      </c>
      <c r="N31">
        <v>110</v>
      </c>
    </row>
    <row r="32" spans="1:19">
      <c r="A32">
        <v>22</v>
      </c>
      <c r="B32" s="68">
        <v>43438</v>
      </c>
      <c r="C32" t="s">
        <v>244</v>
      </c>
      <c r="D32" t="s">
        <v>270</v>
      </c>
      <c r="E32">
        <v>34</v>
      </c>
      <c r="F32">
        <v>20</v>
      </c>
      <c r="G32">
        <v>60</v>
      </c>
      <c r="H32">
        <v>45</v>
      </c>
      <c r="I32">
        <v>87</v>
      </c>
      <c r="J32">
        <v>73</v>
      </c>
      <c r="K32">
        <v>111</v>
      </c>
      <c r="L32">
        <v>102</v>
      </c>
      <c r="M32">
        <v>111</v>
      </c>
      <c r="N32">
        <v>102</v>
      </c>
    </row>
    <row r="33" spans="1:14">
      <c r="A33">
        <v>24</v>
      </c>
      <c r="B33" s="68">
        <v>43442</v>
      </c>
      <c r="C33" t="s">
        <v>244</v>
      </c>
      <c r="D33" t="s">
        <v>258</v>
      </c>
      <c r="E33">
        <v>32</v>
      </c>
      <c r="F33">
        <v>30</v>
      </c>
      <c r="G33">
        <v>56</v>
      </c>
      <c r="H33">
        <v>57</v>
      </c>
      <c r="I33">
        <v>84</v>
      </c>
      <c r="J33">
        <v>84</v>
      </c>
      <c r="K33">
        <v>107</v>
      </c>
      <c r="L33">
        <v>104</v>
      </c>
      <c r="M33">
        <v>107</v>
      </c>
      <c r="N33">
        <v>104</v>
      </c>
    </row>
    <row r="34" spans="1:14">
      <c r="A34">
        <v>25</v>
      </c>
      <c r="B34" s="68">
        <v>43444</v>
      </c>
      <c r="C34" t="s">
        <v>244</v>
      </c>
      <c r="D34" t="s">
        <v>252</v>
      </c>
      <c r="E34">
        <v>24</v>
      </c>
      <c r="F34">
        <v>19</v>
      </c>
      <c r="G34">
        <v>52</v>
      </c>
      <c r="H34">
        <v>40</v>
      </c>
      <c r="I34">
        <v>75</v>
      </c>
      <c r="J34">
        <v>53</v>
      </c>
      <c r="K34">
        <v>101</v>
      </c>
      <c r="L34">
        <v>76</v>
      </c>
      <c r="M34">
        <v>101</v>
      </c>
      <c r="N34">
        <v>76</v>
      </c>
    </row>
    <row r="35" spans="1:14">
      <c r="A35">
        <v>26</v>
      </c>
      <c r="B35" s="68">
        <v>43446</v>
      </c>
      <c r="C35" t="s">
        <v>244</v>
      </c>
      <c r="D35" t="s">
        <v>253</v>
      </c>
      <c r="E35">
        <v>28</v>
      </c>
      <c r="F35">
        <v>26</v>
      </c>
      <c r="G35">
        <v>51</v>
      </c>
      <c r="H35">
        <v>52</v>
      </c>
      <c r="I35">
        <v>81</v>
      </c>
      <c r="J35">
        <v>78</v>
      </c>
      <c r="K35">
        <v>114</v>
      </c>
      <c r="L35">
        <v>107</v>
      </c>
      <c r="M35">
        <v>114</v>
      </c>
      <c r="N35">
        <v>107</v>
      </c>
    </row>
    <row r="36" spans="1:14">
      <c r="A36">
        <v>28</v>
      </c>
      <c r="B36" s="68">
        <v>43450</v>
      </c>
      <c r="C36" t="s">
        <v>244</v>
      </c>
      <c r="D36" t="s">
        <v>262</v>
      </c>
      <c r="E36">
        <v>31</v>
      </c>
      <c r="F36">
        <v>34</v>
      </c>
      <c r="G36">
        <v>58</v>
      </c>
      <c r="H36">
        <v>61</v>
      </c>
      <c r="I36">
        <v>83</v>
      </c>
      <c r="J36">
        <v>93</v>
      </c>
      <c r="K36">
        <v>113</v>
      </c>
      <c r="L36">
        <v>120</v>
      </c>
      <c r="M36">
        <v>113</v>
      </c>
      <c r="N36">
        <v>120</v>
      </c>
    </row>
    <row r="37" spans="1:14">
      <c r="A37">
        <v>33</v>
      </c>
      <c r="B37" s="68">
        <v>43460</v>
      </c>
      <c r="C37" t="s">
        <v>244</v>
      </c>
      <c r="D37" t="s">
        <v>257</v>
      </c>
      <c r="E37">
        <v>33</v>
      </c>
      <c r="F37">
        <v>30</v>
      </c>
      <c r="G37">
        <v>67</v>
      </c>
      <c r="H37">
        <v>64</v>
      </c>
      <c r="I37">
        <v>90</v>
      </c>
      <c r="J37">
        <v>94</v>
      </c>
      <c r="K37">
        <v>122</v>
      </c>
      <c r="L37">
        <v>119</v>
      </c>
      <c r="M37">
        <v>122</v>
      </c>
      <c r="N37">
        <v>119</v>
      </c>
    </row>
    <row r="38" spans="1:14">
      <c r="A38">
        <v>35</v>
      </c>
      <c r="B38" s="68">
        <v>43464</v>
      </c>
      <c r="C38" t="s">
        <v>244</v>
      </c>
      <c r="D38" t="s">
        <v>241</v>
      </c>
      <c r="E38">
        <v>27</v>
      </c>
      <c r="F38">
        <v>28</v>
      </c>
      <c r="G38">
        <v>57</v>
      </c>
      <c r="H38">
        <v>59</v>
      </c>
      <c r="I38">
        <v>84</v>
      </c>
      <c r="J38">
        <v>73</v>
      </c>
      <c r="K38">
        <v>105</v>
      </c>
      <c r="L38">
        <v>103</v>
      </c>
      <c r="M38">
        <v>105</v>
      </c>
      <c r="N38">
        <v>103</v>
      </c>
    </row>
  </sheetData>
  <sortState xmlns:xlrd2="http://schemas.microsoft.com/office/spreadsheetml/2017/richdata2" ref="A2:R62">
    <sortCondition ref="C1"/>
  </sortState>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dimension ref="A1:AA38"/>
  <sheetViews>
    <sheetView topLeftCell="S1" workbookViewId="0">
      <selection activeCell="V4" sqref="V4"/>
    </sheetView>
  </sheetViews>
  <sheetFormatPr defaultRowHeight="14.5"/>
  <cols>
    <col min="1" max="1" width="2.6328125" bestFit="1" customWidth="1"/>
    <col min="2" max="2" width="13.1796875"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453125" customWidth="1"/>
    <col min="20" max="20" width="19.26953125" customWidth="1"/>
    <col min="21" max="21" width="23.26953125" customWidth="1"/>
    <col min="22" max="22" width="18.90625" customWidth="1"/>
    <col min="23" max="23" width="22.6328125" customWidth="1"/>
    <col min="24" max="24" width="20.90625" customWidth="1"/>
    <col min="25" max="25" width="23.7265625" customWidth="1"/>
    <col min="26" max="26" width="23.81640625" customWidth="1"/>
    <col min="27" max="27" width="24.1796875" customWidth="1"/>
  </cols>
  <sheetData>
    <row r="1" spans="1:27">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c r="S1" t="s">
        <v>273</v>
      </c>
      <c r="T1" t="s">
        <v>274</v>
      </c>
      <c r="U1" t="s">
        <v>276</v>
      </c>
      <c r="V1" t="s">
        <v>274</v>
      </c>
      <c r="W1" t="s">
        <v>276</v>
      </c>
      <c r="X1" t="s">
        <v>278</v>
      </c>
      <c r="Y1" t="s">
        <v>279</v>
      </c>
      <c r="Z1" t="s">
        <v>280</v>
      </c>
      <c r="AA1" t="s">
        <v>281</v>
      </c>
    </row>
    <row r="2" spans="1:27">
      <c r="A2">
        <v>1</v>
      </c>
      <c r="B2" s="68">
        <v>43390</v>
      </c>
      <c r="C2" t="s">
        <v>243</v>
      </c>
      <c r="D2" t="s">
        <v>250</v>
      </c>
      <c r="E2">
        <v>16</v>
      </c>
      <c r="F2">
        <v>27</v>
      </c>
      <c r="G2">
        <v>39</v>
      </c>
      <c r="H2">
        <v>56</v>
      </c>
      <c r="I2">
        <v>58</v>
      </c>
      <c r="J2">
        <v>76</v>
      </c>
      <c r="K2">
        <v>83</v>
      </c>
      <c r="L2">
        <v>111</v>
      </c>
      <c r="M2">
        <v>83</v>
      </c>
      <c r="N2">
        <v>111</v>
      </c>
      <c r="T2" t="s">
        <v>275</v>
      </c>
      <c r="U2" t="s">
        <v>275</v>
      </c>
      <c r="V2" t="s">
        <v>277</v>
      </c>
      <c r="W2" t="s">
        <v>277</v>
      </c>
      <c r="X2">
        <f>AVERAGE(M21:M38)</f>
        <v>101.55555555555556</v>
      </c>
      <c r="Y2">
        <f>AVERAGE(N21:N38)</f>
        <v>99.944444444444443</v>
      </c>
      <c r="Z2">
        <f>AVERAGE(G21:G38)</f>
        <v>53.222222222222221</v>
      </c>
      <c r="AA2">
        <f>AVERAGE(H21:H38)</f>
        <v>49.333333333333336</v>
      </c>
    </row>
    <row r="3" spans="1:27">
      <c r="A3">
        <v>3</v>
      </c>
      <c r="B3" s="68">
        <v>43395</v>
      </c>
      <c r="C3" t="s">
        <v>243</v>
      </c>
      <c r="D3" t="s">
        <v>261</v>
      </c>
      <c r="E3">
        <v>19</v>
      </c>
      <c r="F3">
        <v>22</v>
      </c>
      <c r="G3">
        <v>47</v>
      </c>
      <c r="H3">
        <v>46</v>
      </c>
      <c r="I3">
        <v>70</v>
      </c>
      <c r="J3">
        <v>63</v>
      </c>
      <c r="K3">
        <v>92</v>
      </c>
      <c r="L3">
        <v>84</v>
      </c>
      <c r="M3">
        <v>92</v>
      </c>
      <c r="N3">
        <v>84</v>
      </c>
      <c r="T3">
        <f>AVERAGEIF(S21:S38,"&gt;0",Q21:Q38)</f>
        <v>46.785714285714285</v>
      </c>
      <c r="U3">
        <f>AVERAGEIF(S21:S38,"&gt;0",R21:R38)</f>
        <v>51.928571428571431</v>
      </c>
      <c r="V3">
        <f>AVERAGEIF(S21:S38,"&lt;0",Q21:Q38)</f>
        <v>53.75</v>
      </c>
      <c r="W3">
        <f>AVERAGEIF(S21:S38,"&lt;0",R21:R38)</f>
        <v>46</v>
      </c>
    </row>
    <row r="4" spans="1:27">
      <c r="A4">
        <v>4</v>
      </c>
      <c r="B4" s="68">
        <v>43397</v>
      </c>
      <c r="C4" t="s">
        <v>243</v>
      </c>
      <c r="D4" t="s">
        <v>262</v>
      </c>
      <c r="E4">
        <v>28</v>
      </c>
      <c r="F4">
        <v>19</v>
      </c>
      <c r="G4">
        <v>52</v>
      </c>
      <c r="H4">
        <v>44</v>
      </c>
      <c r="I4">
        <v>71</v>
      </c>
      <c r="J4">
        <v>71</v>
      </c>
      <c r="K4">
        <v>92</v>
      </c>
      <c r="L4">
        <v>97</v>
      </c>
      <c r="M4">
        <v>92</v>
      </c>
      <c r="N4">
        <v>97</v>
      </c>
    </row>
    <row r="5" spans="1:27">
      <c r="A5">
        <v>7</v>
      </c>
      <c r="B5" s="68">
        <v>43406</v>
      </c>
      <c r="C5" t="s">
        <v>243</v>
      </c>
      <c r="D5" t="s">
        <v>261</v>
      </c>
      <c r="E5">
        <v>29</v>
      </c>
      <c r="F5">
        <v>31</v>
      </c>
      <c r="G5">
        <v>53</v>
      </c>
      <c r="H5">
        <v>60</v>
      </c>
      <c r="I5">
        <v>83</v>
      </c>
      <c r="J5">
        <v>78</v>
      </c>
      <c r="K5">
        <v>110</v>
      </c>
      <c r="L5">
        <v>100</v>
      </c>
      <c r="M5">
        <v>110</v>
      </c>
      <c r="N5">
        <v>100</v>
      </c>
    </row>
    <row r="6" spans="1:27">
      <c r="A6">
        <v>8</v>
      </c>
      <c r="B6" s="68">
        <v>43408</v>
      </c>
      <c r="C6" t="s">
        <v>243</v>
      </c>
      <c r="D6" t="s">
        <v>266</v>
      </c>
      <c r="E6">
        <v>28</v>
      </c>
      <c r="F6">
        <v>21</v>
      </c>
      <c r="G6">
        <v>56</v>
      </c>
      <c r="H6">
        <v>52</v>
      </c>
      <c r="I6">
        <v>81</v>
      </c>
      <c r="J6">
        <v>77</v>
      </c>
      <c r="K6">
        <v>100</v>
      </c>
      <c r="L6">
        <v>102</v>
      </c>
      <c r="M6">
        <v>100</v>
      </c>
      <c r="N6">
        <v>102</v>
      </c>
    </row>
    <row r="7" spans="1:27">
      <c r="A7">
        <v>9</v>
      </c>
      <c r="B7" s="68">
        <v>43409</v>
      </c>
      <c r="C7" t="s">
        <v>243</v>
      </c>
      <c r="D7" t="s">
        <v>242</v>
      </c>
      <c r="E7">
        <v>31</v>
      </c>
      <c r="F7">
        <v>29</v>
      </c>
      <c r="G7">
        <v>58</v>
      </c>
      <c r="H7">
        <v>58</v>
      </c>
      <c r="I7">
        <v>73</v>
      </c>
      <c r="J7">
        <v>92</v>
      </c>
      <c r="K7">
        <v>101</v>
      </c>
      <c r="L7">
        <v>117</v>
      </c>
      <c r="M7">
        <v>101</v>
      </c>
      <c r="N7">
        <v>117</v>
      </c>
    </row>
    <row r="8" spans="1:27">
      <c r="A8">
        <v>13</v>
      </c>
      <c r="B8" s="68">
        <v>43418</v>
      </c>
      <c r="C8" t="s">
        <v>243</v>
      </c>
      <c r="D8" t="s">
        <v>245</v>
      </c>
      <c r="E8">
        <v>29</v>
      </c>
      <c r="F8">
        <v>19</v>
      </c>
      <c r="G8">
        <v>48</v>
      </c>
      <c r="H8">
        <v>45</v>
      </c>
      <c r="I8">
        <v>84</v>
      </c>
      <c r="J8">
        <v>80</v>
      </c>
      <c r="K8">
        <v>116</v>
      </c>
      <c r="L8">
        <v>113</v>
      </c>
      <c r="M8">
        <v>116</v>
      </c>
      <c r="N8">
        <v>113</v>
      </c>
    </row>
    <row r="9" spans="1:27">
      <c r="A9">
        <v>15</v>
      </c>
      <c r="B9" s="68">
        <v>43422</v>
      </c>
      <c r="C9" t="s">
        <v>243</v>
      </c>
      <c r="D9" t="s">
        <v>259</v>
      </c>
      <c r="E9">
        <v>17</v>
      </c>
      <c r="F9">
        <v>20</v>
      </c>
      <c r="G9">
        <v>47</v>
      </c>
      <c r="H9">
        <v>43</v>
      </c>
      <c r="I9">
        <v>75</v>
      </c>
      <c r="J9">
        <v>62</v>
      </c>
      <c r="K9">
        <v>100</v>
      </c>
      <c r="L9">
        <v>87</v>
      </c>
      <c r="M9">
        <v>100</v>
      </c>
      <c r="N9">
        <v>87</v>
      </c>
    </row>
    <row r="10" spans="1:27">
      <c r="A10">
        <v>17</v>
      </c>
      <c r="B10" s="68">
        <v>43425</v>
      </c>
      <c r="C10" t="s">
        <v>243</v>
      </c>
      <c r="D10" t="s">
        <v>260</v>
      </c>
      <c r="E10">
        <v>30</v>
      </c>
      <c r="F10">
        <v>32</v>
      </c>
      <c r="G10">
        <v>61</v>
      </c>
      <c r="H10">
        <v>59</v>
      </c>
      <c r="I10">
        <v>81</v>
      </c>
      <c r="J10">
        <v>77</v>
      </c>
      <c r="K10">
        <v>104</v>
      </c>
      <c r="L10">
        <v>103</v>
      </c>
      <c r="M10">
        <v>104</v>
      </c>
      <c r="N10">
        <v>103</v>
      </c>
    </row>
    <row r="11" spans="1:27">
      <c r="A11">
        <v>18</v>
      </c>
      <c r="B11" s="68">
        <v>43427</v>
      </c>
      <c r="C11" t="s">
        <v>243</v>
      </c>
      <c r="D11" t="s">
        <v>264</v>
      </c>
      <c r="E11">
        <v>22</v>
      </c>
      <c r="F11">
        <v>16</v>
      </c>
      <c r="G11">
        <v>52</v>
      </c>
      <c r="H11">
        <v>44</v>
      </c>
      <c r="I11">
        <v>70</v>
      </c>
      <c r="J11">
        <v>75</v>
      </c>
      <c r="K11">
        <v>98</v>
      </c>
      <c r="L11">
        <v>98</v>
      </c>
      <c r="M11">
        <v>107</v>
      </c>
      <c r="N11">
        <v>112</v>
      </c>
      <c r="O11">
        <v>107</v>
      </c>
      <c r="P11">
        <v>112</v>
      </c>
    </row>
    <row r="12" spans="1:27">
      <c r="A12">
        <v>21</v>
      </c>
      <c r="B12" s="68">
        <v>43434</v>
      </c>
      <c r="C12" t="s">
        <v>243</v>
      </c>
      <c r="D12" t="s">
        <v>247</v>
      </c>
      <c r="E12">
        <v>26</v>
      </c>
      <c r="F12">
        <v>26</v>
      </c>
      <c r="G12">
        <v>58</v>
      </c>
      <c r="H12">
        <v>58</v>
      </c>
      <c r="I12">
        <v>85</v>
      </c>
      <c r="J12">
        <v>80</v>
      </c>
      <c r="K12">
        <v>111</v>
      </c>
      <c r="L12">
        <v>111</v>
      </c>
      <c r="M12">
        <v>131</v>
      </c>
      <c r="N12">
        <v>125</v>
      </c>
      <c r="O12">
        <v>131</v>
      </c>
      <c r="P12">
        <v>125</v>
      </c>
    </row>
    <row r="13" spans="1:27">
      <c r="A13">
        <v>22</v>
      </c>
      <c r="B13" s="68">
        <v>43436</v>
      </c>
      <c r="C13" t="s">
        <v>243</v>
      </c>
      <c r="D13" t="s">
        <v>239</v>
      </c>
      <c r="E13">
        <v>25</v>
      </c>
      <c r="F13">
        <v>26</v>
      </c>
      <c r="G13">
        <v>44</v>
      </c>
      <c r="H13">
        <v>54</v>
      </c>
      <c r="I13">
        <v>68</v>
      </c>
      <c r="J13">
        <v>78</v>
      </c>
      <c r="K13">
        <v>95</v>
      </c>
      <c r="L13">
        <v>103</v>
      </c>
      <c r="M13">
        <v>95</v>
      </c>
      <c r="N13">
        <v>103</v>
      </c>
    </row>
    <row r="14" spans="1:27">
      <c r="A14">
        <v>24</v>
      </c>
      <c r="B14" s="68">
        <v>43441</v>
      </c>
      <c r="C14" t="s">
        <v>243</v>
      </c>
      <c r="D14" t="s">
        <v>257</v>
      </c>
      <c r="E14">
        <v>31</v>
      </c>
      <c r="F14">
        <v>30</v>
      </c>
      <c r="G14">
        <v>58</v>
      </c>
      <c r="H14">
        <v>60</v>
      </c>
      <c r="I14">
        <v>85</v>
      </c>
      <c r="J14">
        <v>84</v>
      </c>
      <c r="K14">
        <v>107</v>
      </c>
      <c r="L14">
        <v>103</v>
      </c>
      <c r="M14">
        <v>107</v>
      </c>
      <c r="N14">
        <v>103</v>
      </c>
    </row>
    <row r="15" spans="1:27">
      <c r="A15">
        <v>26</v>
      </c>
      <c r="B15" s="68">
        <v>43444</v>
      </c>
      <c r="C15" t="s">
        <v>243</v>
      </c>
      <c r="D15" t="s">
        <v>263</v>
      </c>
      <c r="E15">
        <v>22</v>
      </c>
      <c r="F15">
        <v>26</v>
      </c>
      <c r="G15">
        <v>50</v>
      </c>
      <c r="H15">
        <v>55</v>
      </c>
      <c r="I15">
        <v>83</v>
      </c>
      <c r="J15">
        <v>84</v>
      </c>
      <c r="K15">
        <v>99</v>
      </c>
      <c r="L15">
        <v>105</v>
      </c>
      <c r="M15">
        <v>99</v>
      </c>
      <c r="N15">
        <v>105</v>
      </c>
    </row>
    <row r="16" spans="1:27">
      <c r="A16">
        <v>30</v>
      </c>
      <c r="B16" s="68">
        <v>43451</v>
      </c>
      <c r="C16" t="s">
        <v>243</v>
      </c>
      <c r="D16" t="s">
        <v>242</v>
      </c>
      <c r="E16">
        <v>22</v>
      </c>
      <c r="F16">
        <v>30</v>
      </c>
      <c r="G16">
        <v>38</v>
      </c>
      <c r="H16">
        <v>61</v>
      </c>
      <c r="I16">
        <v>67</v>
      </c>
      <c r="J16">
        <v>84</v>
      </c>
      <c r="K16">
        <v>93</v>
      </c>
      <c r="L16">
        <v>110</v>
      </c>
      <c r="M16">
        <v>93</v>
      </c>
      <c r="N16">
        <v>110</v>
      </c>
    </row>
    <row r="17" spans="1:19">
      <c r="A17">
        <v>31</v>
      </c>
      <c r="B17" s="68">
        <v>43453</v>
      </c>
      <c r="C17" t="s">
        <v>243</v>
      </c>
      <c r="D17" t="s">
        <v>270</v>
      </c>
      <c r="E17">
        <v>18</v>
      </c>
      <c r="F17">
        <v>17</v>
      </c>
      <c r="G17">
        <v>52</v>
      </c>
      <c r="H17">
        <v>47</v>
      </c>
      <c r="I17">
        <v>71</v>
      </c>
      <c r="J17">
        <v>74</v>
      </c>
      <c r="K17">
        <v>92</v>
      </c>
      <c r="L17">
        <v>99</v>
      </c>
      <c r="M17">
        <v>92</v>
      </c>
      <c r="N17">
        <v>99</v>
      </c>
    </row>
    <row r="18" spans="1:19">
      <c r="A18">
        <v>32</v>
      </c>
      <c r="B18" s="68">
        <v>43455</v>
      </c>
      <c r="C18" t="s">
        <v>243</v>
      </c>
      <c r="D18" t="s">
        <v>262</v>
      </c>
      <c r="E18">
        <v>32</v>
      </c>
      <c r="F18">
        <v>24</v>
      </c>
      <c r="G18">
        <v>53</v>
      </c>
      <c r="H18">
        <v>40</v>
      </c>
      <c r="I18">
        <v>74</v>
      </c>
      <c r="J18">
        <v>65</v>
      </c>
      <c r="K18">
        <v>99</v>
      </c>
      <c r="L18">
        <v>102</v>
      </c>
      <c r="M18">
        <v>99</v>
      </c>
      <c r="N18">
        <v>102</v>
      </c>
    </row>
    <row r="19" spans="1:19">
      <c r="A19">
        <v>33</v>
      </c>
      <c r="B19" s="68">
        <v>43457</v>
      </c>
      <c r="C19" t="s">
        <v>243</v>
      </c>
      <c r="D19" t="s">
        <v>269</v>
      </c>
      <c r="E19">
        <v>26</v>
      </c>
      <c r="F19">
        <v>20</v>
      </c>
      <c r="G19">
        <v>50</v>
      </c>
      <c r="H19">
        <v>46</v>
      </c>
      <c r="I19">
        <v>72</v>
      </c>
      <c r="J19">
        <v>75</v>
      </c>
      <c r="K19">
        <v>107</v>
      </c>
      <c r="L19">
        <v>99</v>
      </c>
      <c r="M19">
        <v>107</v>
      </c>
      <c r="N19">
        <v>99</v>
      </c>
    </row>
    <row r="20" spans="1:19">
      <c r="A20">
        <v>36</v>
      </c>
      <c r="B20" s="68">
        <v>43465</v>
      </c>
      <c r="C20" t="s">
        <v>243</v>
      </c>
      <c r="D20" t="s">
        <v>258</v>
      </c>
      <c r="E20">
        <v>18</v>
      </c>
      <c r="F20">
        <v>27</v>
      </c>
      <c r="G20">
        <v>38</v>
      </c>
      <c r="H20">
        <v>61</v>
      </c>
      <c r="I20">
        <v>73</v>
      </c>
      <c r="J20">
        <v>86</v>
      </c>
      <c r="K20">
        <v>101</v>
      </c>
      <c r="L20">
        <v>113</v>
      </c>
      <c r="M20">
        <v>101</v>
      </c>
      <c r="N20">
        <v>113</v>
      </c>
    </row>
    <row r="21" spans="1:19">
      <c r="A21">
        <v>2</v>
      </c>
      <c r="B21" s="68">
        <v>43392</v>
      </c>
      <c r="C21" t="s">
        <v>244</v>
      </c>
      <c r="D21" t="s">
        <v>253</v>
      </c>
      <c r="E21">
        <v>37</v>
      </c>
      <c r="F21">
        <v>33</v>
      </c>
      <c r="G21">
        <v>77</v>
      </c>
      <c r="H21">
        <v>61</v>
      </c>
      <c r="I21">
        <v>106</v>
      </c>
      <c r="J21">
        <v>82</v>
      </c>
      <c r="K21">
        <v>131</v>
      </c>
      <c r="L21">
        <v>117</v>
      </c>
      <c r="M21">
        <v>131</v>
      </c>
      <c r="N21">
        <v>117</v>
      </c>
      <c r="Q21">
        <f>M21-G21</f>
        <v>54</v>
      </c>
      <c r="R21">
        <f>N21-H21</f>
        <v>56</v>
      </c>
      <c r="S21">
        <f>G21-H21</f>
        <v>16</v>
      </c>
    </row>
    <row r="22" spans="1:19">
      <c r="A22">
        <v>5</v>
      </c>
      <c r="B22" s="68">
        <v>43400</v>
      </c>
      <c r="C22" t="s">
        <v>244</v>
      </c>
      <c r="D22" t="s">
        <v>266</v>
      </c>
      <c r="E22">
        <v>26</v>
      </c>
      <c r="F22">
        <v>18</v>
      </c>
      <c r="G22">
        <v>68</v>
      </c>
      <c r="H22">
        <v>43</v>
      </c>
      <c r="I22">
        <v>87</v>
      </c>
      <c r="J22">
        <v>71</v>
      </c>
      <c r="K22">
        <v>117</v>
      </c>
      <c r="L22">
        <v>96</v>
      </c>
      <c r="M22">
        <v>117</v>
      </c>
      <c r="N22">
        <v>96</v>
      </c>
      <c r="Q22">
        <f t="shared" ref="Q22:Q38" si="0">M22-G22</f>
        <v>49</v>
      </c>
      <c r="R22">
        <f t="shared" ref="R22:R38" si="1">N22-H22</f>
        <v>53</v>
      </c>
      <c r="S22">
        <f t="shared" ref="S22:S38" si="2">G22-H22</f>
        <v>25</v>
      </c>
    </row>
    <row r="23" spans="1:19">
      <c r="A23">
        <v>6</v>
      </c>
      <c r="B23" s="68">
        <v>43403</v>
      </c>
      <c r="C23" t="s">
        <v>244</v>
      </c>
      <c r="D23" t="s">
        <v>268</v>
      </c>
      <c r="E23">
        <v>22</v>
      </c>
      <c r="F23">
        <v>24</v>
      </c>
      <c r="G23">
        <v>46</v>
      </c>
      <c r="H23">
        <v>45</v>
      </c>
      <c r="I23">
        <v>78</v>
      </c>
      <c r="J23">
        <v>72</v>
      </c>
      <c r="K23">
        <v>107</v>
      </c>
      <c r="L23">
        <v>95</v>
      </c>
      <c r="M23">
        <v>107</v>
      </c>
      <c r="N23">
        <v>95</v>
      </c>
      <c r="Q23">
        <f t="shared" si="0"/>
        <v>61</v>
      </c>
      <c r="R23">
        <f t="shared" si="1"/>
        <v>50</v>
      </c>
      <c r="S23">
        <f t="shared" si="2"/>
        <v>1</v>
      </c>
    </row>
    <row r="24" spans="1:19">
      <c r="A24">
        <v>10</v>
      </c>
      <c r="B24" s="68">
        <v>43411</v>
      </c>
      <c r="C24" t="s">
        <v>244</v>
      </c>
      <c r="D24" t="s">
        <v>263</v>
      </c>
      <c r="E24">
        <v>22</v>
      </c>
      <c r="F24">
        <v>29</v>
      </c>
      <c r="G24">
        <v>50</v>
      </c>
      <c r="H24">
        <v>47</v>
      </c>
      <c r="I24">
        <v>70</v>
      </c>
      <c r="J24">
        <v>70</v>
      </c>
      <c r="K24">
        <v>89</v>
      </c>
      <c r="L24">
        <v>87</v>
      </c>
      <c r="M24">
        <v>89</v>
      </c>
      <c r="N24">
        <v>87</v>
      </c>
      <c r="Q24">
        <f t="shared" si="0"/>
        <v>39</v>
      </c>
      <c r="R24">
        <f t="shared" si="1"/>
        <v>40</v>
      </c>
      <c r="S24">
        <f t="shared" si="2"/>
        <v>3</v>
      </c>
    </row>
    <row r="25" spans="1:19">
      <c r="A25">
        <v>11</v>
      </c>
      <c r="B25" s="68">
        <v>43414</v>
      </c>
      <c r="C25" t="s">
        <v>244</v>
      </c>
      <c r="D25" t="s">
        <v>239</v>
      </c>
      <c r="E25">
        <v>21</v>
      </c>
      <c r="F25">
        <v>26</v>
      </c>
      <c r="G25">
        <v>50</v>
      </c>
      <c r="H25">
        <v>63</v>
      </c>
      <c r="I25">
        <v>74</v>
      </c>
      <c r="J25">
        <v>80</v>
      </c>
      <c r="K25">
        <v>102</v>
      </c>
      <c r="L25">
        <v>102</v>
      </c>
      <c r="M25">
        <v>112</v>
      </c>
      <c r="N25">
        <v>106</v>
      </c>
      <c r="O25">
        <v>112</v>
      </c>
      <c r="P25">
        <v>106</v>
      </c>
      <c r="Q25">
        <f t="shared" si="0"/>
        <v>62</v>
      </c>
      <c r="R25">
        <f t="shared" si="1"/>
        <v>43</v>
      </c>
      <c r="S25">
        <f t="shared" si="2"/>
        <v>-13</v>
      </c>
    </row>
    <row r="26" spans="1:19">
      <c r="A26">
        <v>12</v>
      </c>
      <c r="B26" s="68">
        <v>43416</v>
      </c>
      <c r="C26" t="s">
        <v>244</v>
      </c>
      <c r="D26" t="s">
        <v>261</v>
      </c>
      <c r="E26">
        <v>16</v>
      </c>
      <c r="F26">
        <v>20</v>
      </c>
      <c r="G26">
        <v>43</v>
      </c>
      <c r="H26">
        <v>40</v>
      </c>
      <c r="I26">
        <v>69</v>
      </c>
      <c r="J26">
        <v>74</v>
      </c>
      <c r="K26">
        <v>88</v>
      </c>
      <c r="L26">
        <v>96</v>
      </c>
      <c r="M26">
        <v>88</v>
      </c>
      <c r="N26">
        <v>96</v>
      </c>
      <c r="Q26">
        <f t="shared" si="0"/>
        <v>45</v>
      </c>
      <c r="R26">
        <f t="shared" si="1"/>
        <v>56</v>
      </c>
      <c r="S26">
        <f t="shared" si="2"/>
        <v>3</v>
      </c>
    </row>
    <row r="27" spans="1:19">
      <c r="A27">
        <v>14</v>
      </c>
      <c r="B27" s="68">
        <v>43420</v>
      </c>
      <c r="C27" t="s">
        <v>244</v>
      </c>
      <c r="D27" t="s">
        <v>262</v>
      </c>
      <c r="E27">
        <v>29</v>
      </c>
      <c r="F27">
        <v>28</v>
      </c>
      <c r="G27">
        <v>62</v>
      </c>
      <c r="H27">
        <v>51</v>
      </c>
      <c r="I27">
        <v>87</v>
      </c>
      <c r="J27">
        <v>78</v>
      </c>
      <c r="K27">
        <v>112</v>
      </c>
      <c r="L27">
        <v>104</v>
      </c>
      <c r="M27">
        <v>112</v>
      </c>
      <c r="N27">
        <v>104</v>
      </c>
      <c r="Q27">
        <f t="shared" si="0"/>
        <v>50</v>
      </c>
      <c r="R27">
        <f t="shared" si="1"/>
        <v>53</v>
      </c>
      <c r="S27">
        <f t="shared" si="2"/>
        <v>11</v>
      </c>
    </row>
    <row r="28" spans="1:19">
      <c r="A28">
        <v>16</v>
      </c>
      <c r="B28" s="68">
        <v>43423</v>
      </c>
      <c r="C28" t="s">
        <v>244</v>
      </c>
      <c r="D28" t="s">
        <v>265</v>
      </c>
      <c r="E28">
        <v>25</v>
      </c>
      <c r="F28">
        <v>21</v>
      </c>
      <c r="G28">
        <v>53</v>
      </c>
      <c r="H28">
        <v>49</v>
      </c>
      <c r="I28">
        <v>74</v>
      </c>
      <c r="J28">
        <v>74</v>
      </c>
      <c r="K28">
        <v>98</v>
      </c>
      <c r="L28">
        <v>88</v>
      </c>
      <c r="M28">
        <v>98</v>
      </c>
      <c r="N28">
        <v>88</v>
      </c>
      <c r="Q28">
        <f t="shared" si="0"/>
        <v>45</v>
      </c>
      <c r="R28">
        <f t="shared" si="1"/>
        <v>39</v>
      </c>
      <c r="S28">
        <f t="shared" si="2"/>
        <v>4</v>
      </c>
    </row>
    <row r="29" spans="1:19">
      <c r="A29">
        <v>19</v>
      </c>
      <c r="B29" s="68">
        <v>43429</v>
      </c>
      <c r="C29" t="s">
        <v>244</v>
      </c>
      <c r="D29" t="s">
        <v>254</v>
      </c>
      <c r="E29">
        <v>26</v>
      </c>
      <c r="F29">
        <v>21</v>
      </c>
      <c r="G29">
        <v>52</v>
      </c>
      <c r="H29">
        <v>43</v>
      </c>
      <c r="I29">
        <v>71</v>
      </c>
      <c r="J29">
        <v>78</v>
      </c>
      <c r="K29">
        <v>98</v>
      </c>
      <c r="L29">
        <v>103</v>
      </c>
      <c r="M29">
        <v>98</v>
      </c>
      <c r="N29">
        <v>103</v>
      </c>
      <c r="Q29">
        <f t="shared" si="0"/>
        <v>46</v>
      </c>
      <c r="R29">
        <f t="shared" si="1"/>
        <v>60</v>
      </c>
      <c r="S29">
        <f t="shared" si="2"/>
        <v>9</v>
      </c>
    </row>
    <row r="30" spans="1:19">
      <c r="A30">
        <v>20</v>
      </c>
      <c r="B30" s="68">
        <v>43431</v>
      </c>
      <c r="C30" t="s">
        <v>244</v>
      </c>
      <c r="D30" t="s">
        <v>256</v>
      </c>
      <c r="E30">
        <v>32</v>
      </c>
      <c r="F30">
        <v>31</v>
      </c>
      <c r="G30">
        <v>71</v>
      </c>
      <c r="H30">
        <v>59</v>
      </c>
      <c r="I30">
        <v>97</v>
      </c>
      <c r="J30">
        <v>93</v>
      </c>
      <c r="K30">
        <v>114</v>
      </c>
      <c r="L30">
        <v>122</v>
      </c>
      <c r="M30">
        <v>114</v>
      </c>
      <c r="N30">
        <v>122</v>
      </c>
      <c r="Q30">
        <f t="shared" si="0"/>
        <v>43</v>
      </c>
      <c r="R30">
        <f t="shared" si="1"/>
        <v>63</v>
      </c>
      <c r="S30">
        <f t="shared" si="2"/>
        <v>12</v>
      </c>
    </row>
    <row r="31" spans="1:19">
      <c r="A31">
        <v>23</v>
      </c>
      <c r="B31" s="68">
        <v>43439</v>
      </c>
      <c r="C31" t="s">
        <v>244</v>
      </c>
      <c r="D31" t="s">
        <v>264</v>
      </c>
      <c r="E31">
        <v>27</v>
      </c>
      <c r="F31">
        <v>15</v>
      </c>
      <c r="G31">
        <v>51</v>
      </c>
      <c r="H31">
        <v>42</v>
      </c>
      <c r="I31">
        <v>69</v>
      </c>
      <c r="J31">
        <v>69</v>
      </c>
      <c r="K31">
        <v>96</v>
      </c>
      <c r="L31">
        <v>86</v>
      </c>
      <c r="M31">
        <v>96</v>
      </c>
      <c r="N31">
        <v>86</v>
      </c>
      <c r="Q31">
        <f t="shared" si="0"/>
        <v>45</v>
      </c>
      <c r="R31">
        <f t="shared" si="1"/>
        <v>44</v>
      </c>
      <c r="S31">
        <f t="shared" si="2"/>
        <v>9</v>
      </c>
    </row>
    <row r="32" spans="1:19">
      <c r="A32">
        <v>25</v>
      </c>
      <c r="B32" s="68">
        <v>43442</v>
      </c>
      <c r="C32" t="s">
        <v>244</v>
      </c>
      <c r="D32" t="s">
        <v>269</v>
      </c>
      <c r="E32">
        <v>16</v>
      </c>
      <c r="F32">
        <v>27</v>
      </c>
      <c r="G32">
        <v>40</v>
      </c>
      <c r="H32">
        <v>63</v>
      </c>
      <c r="I32">
        <v>66</v>
      </c>
      <c r="J32">
        <v>91</v>
      </c>
      <c r="K32">
        <v>88</v>
      </c>
      <c r="L32">
        <v>111</v>
      </c>
      <c r="M32">
        <v>88</v>
      </c>
      <c r="N32">
        <v>111</v>
      </c>
      <c r="Q32">
        <f t="shared" si="0"/>
        <v>48</v>
      </c>
      <c r="R32">
        <f t="shared" si="1"/>
        <v>48</v>
      </c>
      <c r="S32">
        <f t="shared" si="2"/>
        <v>-23</v>
      </c>
    </row>
    <row r="33" spans="1:19">
      <c r="A33">
        <v>27</v>
      </c>
      <c r="B33" s="68">
        <v>43446</v>
      </c>
      <c r="C33" t="s">
        <v>244</v>
      </c>
      <c r="D33" t="s">
        <v>270</v>
      </c>
      <c r="E33">
        <v>15</v>
      </c>
      <c r="F33">
        <v>26</v>
      </c>
      <c r="G33">
        <v>42</v>
      </c>
      <c r="H33">
        <v>40</v>
      </c>
      <c r="I33">
        <v>68</v>
      </c>
      <c r="J33">
        <v>63</v>
      </c>
      <c r="K33">
        <v>92</v>
      </c>
      <c r="L33">
        <v>83</v>
      </c>
      <c r="M33">
        <v>92</v>
      </c>
      <c r="N33">
        <v>83</v>
      </c>
      <c r="Q33">
        <f t="shared" si="0"/>
        <v>50</v>
      </c>
      <c r="R33">
        <f t="shared" si="1"/>
        <v>43</v>
      </c>
      <c r="S33">
        <f t="shared" si="2"/>
        <v>2</v>
      </c>
    </row>
    <row r="34" spans="1:19">
      <c r="A34">
        <v>28</v>
      </c>
      <c r="B34" s="68">
        <v>43448</v>
      </c>
      <c r="C34" t="s">
        <v>244</v>
      </c>
      <c r="D34" t="s">
        <v>251</v>
      </c>
      <c r="E34">
        <v>28</v>
      </c>
      <c r="F34">
        <v>29</v>
      </c>
      <c r="G34">
        <v>49</v>
      </c>
      <c r="H34">
        <v>51</v>
      </c>
      <c r="I34">
        <v>73</v>
      </c>
      <c r="J34">
        <v>71</v>
      </c>
      <c r="K34">
        <v>97</v>
      </c>
      <c r="L34">
        <v>100</v>
      </c>
      <c r="M34">
        <v>97</v>
      </c>
      <c r="N34">
        <v>100</v>
      </c>
      <c r="Q34">
        <f t="shared" si="0"/>
        <v>48</v>
      </c>
      <c r="R34">
        <f t="shared" si="1"/>
        <v>49</v>
      </c>
      <c r="S34">
        <f t="shared" si="2"/>
        <v>-2</v>
      </c>
    </row>
    <row r="35" spans="1:19">
      <c r="A35">
        <v>29</v>
      </c>
      <c r="B35" s="68">
        <v>43449</v>
      </c>
      <c r="C35" t="s">
        <v>244</v>
      </c>
      <c r="D35" t="s">
        <v>258</v>
      </c>
      <c r="E35">
        <v>29</v>
      </c>
      <c r="F35">
        <v>36</v>
      </c>
      <c r="G35">
        <v>40</v>
      </c>
      <c r="H35">
        <v>61</v>
      </c>
      <c r="I35">
        <v>65</v>
      </c>
      <c r="J35">
        <v>79</v>
      </c>
      <c r="K35">
        <v>97</v>
      </c>
      <c r="L35">
        <v>105</v>
      </c>
      <c r="M35">
        <v>97</v>
      </c>
      <c r="N35">
        <v>105</v>
      </c>
      <c r="Q35">
        <f t="shared" si="0"/>
        <v>57</v>
      </c>
      <c r="R35">
        <f t="shared" si="1"/>
        <v>44</v>
      </c>
      <c r="S35">
        <f t="shared" si="2"/>
        <v>-21</v>
      </c>
    </row>
    <row r="36" spans="1:19">
      <c r="A36">
        <v>34</v>
      </c>
      <c r="B36" s="68">
        <v>43460</v>
      </c>
      <c r="C36" t="s">
        <v>244</v>
      </c>
      <c r="D36" t="s">
        <v>255</v>
      </c>
      <c r="E36">
        <v>21</v>
      </c>
      <c r="F36">
        <v>9</v>
      </c>
      <c r="G36">
        <v>45</v>
      </c>
      <c r="H36">
        <v>32</v>
      </c>
      <c r="I36">
        <v>65</v>
      </c>
      <c r="J36">
        <v>53</v>
      </c>
      <c r="K36">
        <v>95</v>
      </c>
      <c r="L36">
        <v>87</v>
      </c>
      <c r="M36">
        <v>95</v>
      </c>
      <c r="N36">
        <v>87</v>
      </c>
      <c r="Q36">
        <f t="shared" si="0"/>
        <v>50</v>
      </c>
      <c r="R36">
        <f t="shared" si="1"/>
        <v>55</v>
      </c>
      <c r="S36">
        <f t="shared" si="2"/>
        <v>13</v>
      </c>
    </row>
    <row r="37" spans="1:19">
      <c r="A37">
        <v>35</v>
      </c>
      <c r="B37" s="68">
        <v>43463</v>
      </c>
      <c r="C37" t="s">
        <v>244</v>
      </c>
      <c r="D37" t="s">
        <v>240</v>
      </c>
      <c r="E37">
        <v>26</v>
      </c>
      <c r="F37">
        <v>29</v>
      </c>
      <c r="G37">
        <v>64</v>
      </c>
      <c r="H37">
        <v>47</v>
      </c>
      <c r="I37">
        <v>87</v>
      </c>
      <c r="J37">
        <v>79</v>
      </c>
      <c r="K37">
        <v>103</v>
      </c>
      <c r="L37">
        <v>112</v>
      </c>
      <c r="M37">
        <v>103</v>
      </c>
      <c r="N37">
        <v>112</v>
      </c>
      <c r="Q37">
        <f t="shared" si="0"/>
        <v>39</v>
      </c>
      <c r="R37">
        <f t="shared" si="1"/>
        <v>65</v>
      </c>
      <c r="S37">
        <f t="shared" si="2"/>
        <v>17</v>
      </c>
    </row>
    <row r="38" spans="1:19">
      <c r="A38">
        <v>37</v>
      </c>
      <c r="B38" s="68">
        <v>43467</v>
      </c>
      <c r="C38" t="s">
        <v>244</v>
      </c>
      <c r="D38" t="s">
        <v>248</v>
      </c>
      <c r="E38">
        <v>24</v>
      </c>
      <c r="F38">
        <v>26</v>
      </c>
      <c r="G38">
        <v>55</v>
      </c>
      <c r="H38">
        <v>51</v>
      </c>
      <c r="I38">
        <v>67</v>
      </c>
      <c r="J38">
        <v>72</v>
      </c>
      <c r="K38">
        <v>94</v>
      </c>
      <c r="L38">
        <v>101</v>
      </c>
      <c r="M38">
        <v>94</v>
      </c>
      <c r="N38">
        <v>101</v>
      </c>
      <c r="Q38">
        <f t="shared" si="0"/>
        <v>39</v>
      </c>
      <c r="R38">
        <f t="shared" si="1"/>
        <v>50</v>
      </c>
      <c r="S38">
        <f t="shared" si="2"/>
        <v>4</v>
      </c>
    </row>
  </sheetData>
  <sortState xmlns:xlrd2="http://schemas.microsoft.com/office/spreadsheetml/2017/richdata2" ref="A2:R63">
    <sortCondition ref="C1"/>
  </sortState>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R39"/>
  <sheetViews>
    <sheetView topLeftCell="Q1" workbookViewId="0">
      <selection activeCell="Q4" sqref="Q4"/>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453125" customWidth="1"/>
    <col min="20" max="20" width="19.1796875" customWidth="1"/>
    <col min="21" max="21" width="23.08984375" customWidth="1"/>
    <col min="22" max="22" width="19.08984375" customWidth="1"/>
    <col min="23" max="23" width="23.6328125" customWidth="1"/>
    <col min="24" max="24" width="19.36328125" customWidth="1"/>
    <col min="25" max="25" width="23.1796875" customWidth="1"/>
    <col min="26" max="26" width="22.36328125" customWidth="1"/>
    <col min="27" max="27" width="26.17968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43392</v>
      </c>
      <c r="C2" t="s">
        <v>243</v>
      </c>
      <c r="D2" t="s">
        <v>257</v>
      </c>
      <c r="E2">
        <v>32</v>
      </c>
      <c r="F2">
        <v>40</v>
      </c>
      <c r="G2">
        <v>63</v>
      </c>
      <c r="H2">
        <v>72</v>
      </c>
      <c r="I2">
        <v>90</v>
      </c>
      <c r="J2">
        <v>110</v>
      </c>
      <c r="K2">
        <v>129</v>
      </c>
      <c r="L2">
        <v>149</v>
      </c>
      <c r="M2">
        <v>129</v>
      </c>
      <c r="N2">
        <v>149</v>
      </c>
    </row>
    <row r="3" spans="1:18">
      <c r="A3">
        <v>3</v>
      </c>
      <c r="B3" s="68">
        <v>43394</v>
      </c>
      <c r="C3" t="s">
        <v>243</v>
      </c>
      <c r="D3" t="s">
        <v>241</v>
      </c>
      <c r="E3">
        <v>34</v>
      </c>
      <c r="F3">
        <v>32</v>
      </c>
      <c r="G3">
        <v>68</v>
      </c>
      <c r="H3">
        <v>56</v>
      </c>
      <c r="I3">
        <v>97</v>
      </c>
      <c r="J3">
        <v>90</v>
      </c>
      <c r="K3">
        <v>131</v>
      </c>
      <c r="L3">
        <v>120</v>
      </c>
      <c r="M3">
        <v>131</v>
      </c>
      <c r="N3">
        <v>120</v>
      </c>
    </row>
    <row r="4" spans="1:18">
      <c r="A4">
        <v>4</v>
      </c>
      <c r="B4" s="68">
        <v>43396</v>
      </c>
      <c r="C4" t="s">
        <v>243</v>
      </c>
      <c r="D4" t="s">
        <v>263</v>
      </c>
      <c r="E4">
        <v>26</v>
      </c>
      <c r="F4">
        <v>33</v>
      </c>
      <c r="G4">
        <v>55</v>
      </c>
      <c r="H4">
        <v>68</v>
      </c>
      <c r="I4">
        <v>81</v>
      </c>
      <c r="J4">
        <v>105</v>
      </c>
      <c r="K4">
        <v>112</v>
      </c>
      <c r="L4">
        <v>126</v>
      </c>
      <c r="M4">
        <v>112</v>
      </c>
      <c r="N4">
        <v>126</v>
      </c>
    </row>
    <row r="5" spans="1:18">
      <c r="A5">
        <v>7</v>
      </c>
      <c r="B5" s="68">
        <v>43402</v>
      </c>
      <c r="C5" t="s">
        <v>243</v>
      </c>
      <c r="D5" t="s">
        <v>251</v>
      </c>
      <c r="E5">
        <v>17</v>
      </c>
      <c r="F5">
        <v>28</v>
      </c>
      <c r="G5">
        <v>51</v>
      </c>
      <c r="H5">
        <v>51</v>
      </c>
      <c r="I5">
        <v>94</v>
      </c>
      <c r="J5">
        <v>83</v>
      </c>
      <c r="K5">
        <v>123</v>
      </c>
      <c r="L5">
        <v>113</v>
      </c>
      <c r="M5">
        <v>123</v>
      </c>
      <c r="N5">
        <v>113</v>
      </c>
    </row>
    <row r="6" spans="1:18">
      <c r="A6">
        <v>8</v>
      </c>
      <c r="B6" s="68">
        <v>43403</v>
      </c>
      <c r="C6" t="s">
        <v>243</v>
      </c>
      <c r="D6" t="s">
        <v>252</v>
      </c>
      <c r="E6">
        <v>26</v>
      </c>
      <c r="F6">
        <v>31</v>
      </c>
      <c r="G6">
        <v>59</v>
      </c>
      <c r="H6">
        <v>56</v>
      </c>
      <c r="I6">
        <v>85</v>
      </c>
      <c r="J6">
        <v>72</v>
      </c>
      <c r="K6">
        <v>107</v>
      </c>
      <c r="L6">
        <v>99</v>
      </c>
      <c r="M6">
        <v>107</v>
      </c>
      <c r="N6">
        <v>99</v>
      </c>
    </row>
    <row r="7" spans="1:18">
      <c r="A7">
        <v>9</v>
      </c>
      <c r="B7" s="68">
        <v>43405</v>
      </c>
      <c r="C7" t="s">
        <v>243</v>
      </c>
      <c r="D7" t="s">
        <v>253</v>
      </c>
      <c r="E7">
        <v>35</v>
      </c>
      <c r="F7">
        <v>29</v>
      </c>
      <c r="G7">
        <v>69</v>
      </c>
      <c r="H7">
        <v>64</v>
      </c>
      <c r="I7">
        <v>115</v>
      </c>
      <c r="J7">
        <v>87</v>
      </c>
      <c r="K7">
        <v>146</v>
      </c>
      <c r="L7">
        <v>115</v>
      </c>
      <c r="M7">
        <v>146</v>
      </c>
      <c r="N7">
        <v>115</v>
      </c>
    </row>
    <row r="8" spans="1:18">
      <c r="A8">
        <v>10</v>
      </c>
      <c r="B8" s="68">
        <v>43408</v>
      </c>
      <c r="C8" t="s">
        <v>243</v>
      </c>
      <c r="D8" t="s">
        <v>245</v>
      </c>
      <c r="E8">
        <v>30</v>
      </c>
      <c r="F8">
        <v>39</v>
      </c>
      <c r="G8">
        <v>50</v>
      </c>
      <c r="H8">
        <v>72</v>
      </c>
      <c r="I8">
        <v>82</v>
      </c>
      <c r="J8">
        <v>108</v>
      </c>
      <c r="K8">
        <v>109</v>
      </c>
      <c r="L8">
        <v>144</v>
      </c>
      <c r="M8">
        <v>109</v>
      </c>
      <c r="N8">
        <v>144</v>
      </c>
    </row>
    <row r="9" spans="1:18">
      <c r="A9">
        <v>15</v>
      </c>
      <c r="B9" s="68">
        <v>43420</v>
      </c>
      <c r="C9" t="s">
        <v>243</v>
      </c>
      <c r="D9" t="s">
        <v>249</v>
      </c>
      <c r="E9">
        <v>28</v>
      </c>
      <c r="F9">
        <v>29</v>
      </c>
      <c r="G9">
        <v>51</v>
      </c>
      <c r="H9">
        <v>62</v>
      </c>
      <c r="I9">
        <v>78</v>
      </c>
      <c r="J9">
        <v>87</v>
      </c>
      <c r="K9">
        <v>104</v>
      </c>
      <c r="L9">
        <v>112</v>
      </c>
      <c r="M9">
        <v>104</v>
      </c>
      <c r="N9">
        <v>112</v>
      </c>
    </row>
    <row r="10" spans="1:18">
      <c r="A10">
        <v>16</v>
      </c>
      <c r="B10" s="68">
        <v>43421</v>
      </c>
      <c r="C10" t="s">
        <v>243</v>
      </c>
      <c r="D10" t="s">
        <v>258</v>
      </c>
      <c r="E10">
        <v>29</v>
      </c>
      <c r="F10">
        <v>36</v>
      </c>
      <c r="G10">
        <v>59</v>
      </c>
      <c r="H10">
        <v>71</v>
      </c>
      <c r="I10">
        <v>86</v>
      </c>
      <c r="J10">
        <v>109</v>
      </c>
      <c r="K10">
        <v>112</v>
      </c>
      <c r="L10">
        <v>132</v>
      </c>
      <c r="M10">
        <v>112</v>
      </c>
      <c r="N10">
        <v>132</v>
      </c>
    </row>
    <row r="11" spans="1:18">
      <c r="A11">
        <v>18</v>
      </c>
      <c r="B11" s="68">
        <v>43425</v>
      </c>
      <c r="C11" t="s">
        <v>243</v>
      </c>
      <c r="D11" t="s">
        <v>261</v>
      </c>
      <c r="E11">
        <v>34</v>
      </c>
      <c r="F11">
        <v>23</v>
      </c>
      <c r="G11">
        <v>60</v>
      </c>
      <c r="H11">
        <v>54</v>
      </c>
      <c r="I11">
        <v>84</v>
      </c>
      <c r="J11">
        <v>83</v>
      </c>
      <c r="K11">
        <v>119</v>
      </c>
      <c r="L11">
        <v>110</v>
      </c>
      <c r="M11">
        <v>119</v>
      </c>
      <c r="N11">
        <v>110</v>
      </c>
    </row>
    <row r="12" spans="1:18">
      <c r="A12">
        <v>19</v>
      </c>
      <c r="B12" s="68">
        <v>43428</v>
      </c>
      <c r="C12" t="s">
        <v>243</v>
      </c>
      <c r="D12" t="s">
        <v>242</v>
      </c>
      <c r="E12">
        <v>29</v>
      </c>
      <c r="F12">
        <v>28</v>
      </c>
      <c r="G12">
        <v>64</v>
      </c>
      <c r="H12">
        <v>60</v>
      </c>
      <c r="I12">
        <v>93</v>
      </c>
      <c r="J12">
        <v>95</v>
      </c>
      <c r="K12">
        <v>116</v>
      </c>
      <c r="L12">
        <v>117</v>
      </c>
      <c r="M12">
        <v>116</v>
      </c>
      <c r="N12">
        <v>117</v>
      </c>
    </row>
    <row r="13" spans="1:18">
      <c r="A13">
        <v>23</v>
      </c>
      <c r="B13" s="68">
        <v>43438</v>
      </c>
      <c r="C13" t="s">
        <v>243</v>
      </c>
      <c r="D13" t="s">
        <v>266</v>
      </c>
      <c r="E13">
        <v>36</v>
      </c>
      <c r="F13">
        <v>9</v>
      </c>
      <c r="G13">
        <v>68</v>
      </c>
      <c r="H13">
        <v>40</v>
      </c>
      <c r="I13">
        <v>99</v>
      </c>
      <c r="J13">
        <v>67</v>
      </c>
      <c r="K13">
        <v>122</v>
      </c>
      <c r="L13">
        <v>105</v>
      </c>
      <c r="M13">
        <v>122</v>
      </c>
      <c r="N13">
        <v>105</v>
      </c>
    </row>
    <row r="14" spans="1:18">
      <c r="A14">
        <v>24</v>
      </c>
      <c r="B14" s="68">
        <v>43441</v>
      </c>
      <c r="C14" t="s">
        <v>243</v>
      </c>
      <c r="D14" t="s">
        <v>255</v>
      </c>
      <c r="E14">
        <v>38</v>
      </c>
      <c r="F14">
        <v>27</v>
      </c>
      <c r="G14">
        <v>66</v>
      </c>
      <c r="H14">
        <v>66</v>
      </c>
      <c r="I14">
        <v>96</v>
      </c>
      <c r="J14">
        <v>89</v>
      </c>
      <c r="K14">
        <v>129</v>
      </c>
      <c r="L14">
        <v>110</v>
      </c>
      <c r="M14">
        <v>129</v>
      </c>
      <c r="N14">
        <v>110</v>
      </c>
    </row>
    <row r="15" spans="1:18">
      <c r="A15">
        <v>25</v>
      </c>
      <c r="B15" s="68">
        <v>43442</v>
      </c>
      <c r="C15" t="s">
        <v>243</v>
      </c>
      <c r="D15" t="s">
        <v>250</v>
      </c>
      <c r="E15">
        <v>31</v>
      </c>
      <c r="F15">
        <v>24</v>
      </c>
      <c r="G15">
        <v>52</v>
      </c>
      <c r="H15">
        <v>54</v>
      </c>
      <c r="I15">
        <v>70</v>
      </c>
      <c r="J15">
        <v>73</v>
      </c>
      <c r="K15">
        <v>97</v>
      </c>
      <c r="L15">
        <v>107</v>
      </c>
      <c r="M15">
        <v>97</v>
      </c>
      <c r="N15">
        <v>107</v>
      </c>
    </row>
    <row r="16" spans="1:18">
      <c r="A16">
        <v>26</v>
      </c>
      <c r="B16" s="68">
        <v>43444</v>
      </c>
      <c r="C16" t="s">
        <v>243</v>
      </c>
      <c r="D16" t="s">
        <v>267</v>
      </c>
      <c r="E16">
        <v>26</v>
      </c>
      <c r="F16">
        <v>33</v>
      </c>
      <c r="G16">
        <v>45</v>
      </c>
      <c r="H16">
        <v>56</v>
      </c>
      <c r="I16">
        <v>81</v>
      </c>
      <c r="J16">
        <v>74</v>
      </c>
      <c r="K16">
        <v>108</v>
      </c>
      <c r="L16">
        <v>89</v>
      </c>
      <c r="M16">
        <v>108</v>
      </c>
      <c r="N16">
        <v>89</v>
      </c>
    </row>
    <row r="17" spans="1:14">
      <c r="A17">
        <v>29</v>
      </c>
      <c r="B17" s="68">
        <v>43450</v>
      </c>
      <c r="C17" t="s">
        <v>243</v>
      </c>
      <c r="D17" t="s">
        <v>265</v>
      </c>
      <c r="E17">
        <v>34</v>
      </c>
      <c r="F17">
        <v>31</v>
      </c>
      <c r="G17">
        <v>61</v>
      </c>
      <c r="H17">
        <v>58</v>
      </c>
      <c r="I17">
        <v>93</v>
      </c>
      <c r="J17">
        <v>83</v>
      </c>
      <c r="K17">
        <v>120</v>
      </c>
      <c r="L17">
        <v>113</v>
      </c>
      <c r="M17">
        <v>120</v>
      </c>
      <c r="N17">
        <v>113</v>
      </c>
    </row>
    <row r="18" spans="1:14">
      <c r="A18">
        <v>30</v>
      </c>
      <c r="B18" s="68">
        <v>43451</v>
      </c>
      <c r="C18" t="s">
        <v>243</v>
      </c>
      <c r="D18" t="s">
        <v>259</v>
      </c>
      <c r="E18">
        <v>23</v>
      </c>
      <c r="F18">
        <v>38</v>
      </c>
      <c r="G18">
        <v>44</v>
      </c>
      <c r="H18">
        <v>74</v>
      </c>
      <c r="I18">
        <v>77</v>
      </c>
      <c r="J18">
        <v>103</v>
      </c>
      <c r="K18">
        <v>105</v>
      </c>
      <c r="L18">
        <v>132</v>
      </c>
      <c r="M18">
        <v>105</v>
      </c>
      <c r="N18">
        <v>132</v>
      </c>
    </row>
    <row r="19" spans="1:14">
      <c r="A19">
        <v>34</v>
      </c>
      <c r="B19" s="68">
        <v>43460</v>
      </c>
      <c r="C19" t="s">
        <v>243</v>
      </c>
      <c r="D19" t="s">
        <v>264</v>
      </c>
      <c r="E19">
        <v>27</v>
      </c>
      <c r="F19">
        <v>39</v>
      </c>
      <c r="G19">
        <v>56</v>
      </c>
      <c r="H19">
        <v>71</v>
      </c>
      <c r="I19">
        <v>85</v>
      </c>
      <c r="J19">
        <v>102</v>
      </c>
      <c r="K19">
        <v>118</v>
      </c>
      <c r="L19">
        <v>127</v>
      </c>
      <c r="M19">
        <v>118</v>
      </c>
      <c r="N19">
        <v>127</v>
      </c>
    </row>
    <row r="20" spans="1:14">
      <c r="A20">
        <v>36</v>
      </c>
      <c r="B20" s="68">
        <v>43464</v>
      </c>
      <c r="C20" t="s">
        <v>243</v>
      </c>
      <c r="D20" t="s">
        <v>269</v>
      </c>
      <c r="E20">
        <v>31</v>
      </c>
      <c r="F20">
        <v>37</v>
      </c>
      <c r="G20">
        <v>68</v>
      </c>
      <c r="H20">
        <v>64</v>
      </c>
      <c r="I20">
        <v>96</v>
      </c>
      <c r="J20">
        <v>92</v>
      </c>
      <c r="K20">
        <v>114</v>
      </c>
      <c r="L20">
        <v>121</v>
      </c>
      <c r="M20">
        <v>114</v>
      </c>
      <c r="N20">
        <v>121</v>
      </c>
    </row>
    <row r="21" spans="1:14">
      <c r="A21">
        <v>1</v>
      </c>
      <c r="B21" s="68">
        <v>43390</v>
      </c>
      <c r="C21" t="s">
        <v>244</v>
      </c>
      <c r="D21" t="s">
        <v>261</v>
      </c>
      <c r="E21">
        <v>34</v>
      </c>
      <c r="F21">
        <v>30</v>
      </c>
      <c r="G21">
        <v>55</v>
      </c>
      <c r="H21">
        <v>68</v>
      </c>
      <c r="I21">
        <v>87</v>
      </c>
      <c r="J21">
        <v>93</v>
      </c>
      <c r="K21">
        <v>117</v>
      </c>
      <c r="L21">
        <v>123</v>
      </c>
      <c r="M21">
        <v>117</v>
      </c>
      <c r="N21">
        <v>123</v>
      </c>
    </row>
    <row r="22" spans="1:14">
      <c r="A22">
        <v>5</v>
      </c>
      <c r="B22" s="68">
        <v>43397</v>
      </c>
      <c r="C22" t="s">
        <v>244</v>
      </c>
      <c r="D22" t="s">
        <v>249</v>
      </c>
      <c r="E22">
        <v>19</v>
      </c>
      <c r="F22">
        <v>28</v>
      </c>
      <c r="G22">
        <v>44</v>
      </c>
      <c r="H22">
        <v>52</v>
      </c>
      <c r="I22">
        <v>71</v>
      </c>
      <c r="J22">
        <v>71</v>
      </c>
      <c r="K22">
        <v>97</v>
      </c>
      <c r="L22">
        <v>92</v>
      </c>
      <c r="M22">
        <v>97</v>
      </c>
      <c r="N22">
        <v>92</v>
      </c>
    </row>
    <row r="23" spans="1:14">
      <c r="A23">
        <v>6</v>
      </c>
      <c r="B23" s="68">
        <v>43399</v>
      </c>
      <c r="C23" t="s">
        <v>244</v>
      </c>
      <c r="D23" t="s">
        <v>268</v>
      </c>
      <c r="E23">
        <v>28</v>
      </c>
      <c r="F23">
        <v>27</v>
      </c>
      <c r="G23">
        <v>55</v>
      </c>
      <c r="H23">
        <v>61</v>
      </c>
      <c r="I23">
        <v>79</v>
      </c>
      <c r="J23">
        <v>85</v>
      </c>
      <c r="K23">
        <v>116</v>
      </c>
      <c r="L23">
        <v>112</v>
      </c>
      <c r="M23">
        <v>116</v>
      </c>
      <c r="N23">
        <v>112</v>
      </c>
    </row>
    <row r="24" spans="1:14">
      <c r="A24">
        <v>11</v>
      </c>
      <c r="B24" s="68">
        <v>43411</v>
      </c>
      <c r="C24" t="s">
        <v>244</v>
      </c>
      <c r="D24" t="s">
        <v>256</v>
      </c>
      <c r="E24">
        <v>26</v>
      </c>
      <c r="F24">
        <v>29</v>
      </c>
      <c r="G24">
        <v>51</v>
      </c>
      <c r="H24">
        <v>64</v>
      </c>
      <c r="I24">
        <v>78</v>
      </c>
      <c r="J24">
        <v>94</v>
      </c>
      <c r="K24">
        <v>105</v>
      </c>
      <c r="L24">
        <v>114</v>
      </c>
      <c r="M24">
        <v>105</v>
      </c>
      <c r="N24">
        <v>114</v>
      </c>
    </row>
    <row r="25" spans="1:14">
      <c r="A25">
        <v>12</v>
      </c>
      <c r="B25" s="68">
        <v>43413</v>
      </c>
      <c r="C25" t="s">
        <v>244</v>
      </c>
      <c r="D25" t="s">
        <v>259</v>
      </c>
      <c r="E25">
        <v>29</v>
      </c>
      <c r="F25">
        <v>31</v>
      </c>
      <c r="G25">
        <v>63</v>
      </c>
      <c r="H25">
        <v>61</v>
      </c>
      <c r="I25">
        <v>92</v>
      </c>
      <c r="J25">
        <v>81</v>
      </c>
      <c r="K25">
        <v>121</v>
      </c>
      <c r="L25">
        <v>110</v>
      </c>
      <c r="M25">
        <v>121</v>
      </c>
      <c r="N25">
        <v>110</v>
      </c>
    </row>
    <row r="26" spans="1:14">
      <c r="A26">
        <v>13</v>
      </c>
      <c r="B26" s="68">
        <v>43414</v>
      </c>
      <c r="C26" t="s">
        <v>244</v>
      </c>
      <c r="D26" t="s">
        <v>269</v>
      </c>
      <c r="E26">
        <v>20</v>
      </c>
      <c r="F26">
        <v>26</v>
      </c>
      <c r="G26">
        <v>44</v>
      </c>
      <c r="H26">
        <v>50</v>
      </c>
      <c r="I26">
        <v>65</v>
      </c>
      <c r="J26">
        <v>76</v>
      </c>
      <c r="K26">
        <v>86</v>
      </c>
      <c r="L26">
        <v>101</v>
      </c>
      <c r="M26">
        <v>86</v>
      </c>
      <c r="N26">
        <v>101</v>
      </c>
    </row>
    <row r="27" spans="1:14">
      <c r="A27">
        <v>14</v>
      </c>
      <c r="B27" s="68">
        <v>43416</v>
      </c>
      <c r="C27" t="s">
        <v>244</v>
      </c>
      <c r="D27" t="s">
        <v>260</v>
      </c>
      <c r="E27">
        <v>25</v>
      </c>
      <c r="F27">
        <v>24</v>
      </c>
      <c r="G27">
        <v>56</v>
      </c>
      <c r="H27">
        <v>55</v>
      </c>
      <c r="I27">
        <v>77</v>
      </c>
      <c r="J27">
        <v>76</v>
      </c>
      <c r="K27">
        <v>104</v>
      </c>
      <c r="L27">
        <v>99</v>
      </c>
      <c r="M27">
        <v>104</v>
      </c>
      <c r="N27">
        <v>99</v>
      </c>
    </row>
    <row r="28" spans="1:14">
      <c r="A28">
        <v>17</v>
      </c>
      <c r="B28" s="68">
        <v>43423</v>
      </c>
      <c r="C28" t="s">
        <v>244</v>
      </c>
      <c r="D28" t="s">
        <v>241</v>
      </c>
      <c r="E28">
        <v>37</v>
      </c>
      <c r="F28">
        <v>24</v>
      </c>
      <c r="G28">
        <v>69</v>
      </c>
      <c r="H28">
        <v>56</v>
      </c>
      <c r="I28">
        <v>84</v>
      </c>
      <c r="J28">
        <v>85</v>
      </c>
      <c r="K28">
        <v>117</v>
      </c>
      <c r="L28">
        <v>113</v>
      </c>
      <c r="M28">
        <v>117</v>
      </c>
      <c r="N28">
        <v>113</v>
      </c>
    </row>
    <row r="29" spans="1:14">
      <c r="A29">
        <v>20</v>
      </c>
      <c r="B29" s="68">
        <v>43429</v>
      </c>
      <c r="C29" t="s">
        <v>244</v>
      </c>
      <c r="D29" t="s">
        <v>261</v>
      </c>
      <c r="E29">
        <v>26</v>
      </c>
      <c r="F29">
        <v>30</v>
      </c>
      <c r="G29">
        <v>50</v>
      </c>
      <c r="H29">
        <v>59</v>
      </c>
      <c r="I29">
        <v>80</v>
      </c>
      <c r="J29">
        <v>91</v>
      </c>
      <c r="K29">
        <v>112</v>
      </c>
      <c r="L29">
        <v>133</v>
      </c>
      <c r="M29">
        <v>112</v>
      </c>
      <c r="N29">
        <v>133</v>
      </c>
    </row>
    <row r="30" spans="1:14">
      <c r="A30">
        <v>21</v>
      </c>
      <c r="B30" s="68">
        <v>43433</v>
      </c>
      <c r="C30" t="s">
        <v>244</v>
      </c>
      <c r="D30" t="s">
        <v>264</v>
      </c>
      <c r="E30">
        <v>26</v>
      </c>
      <c r="F30">
        <v>42</v>
      </c>
      <c r="G30">
        <v>68</v>
      </c>
      <c r="H30">
        <v>71</v>
      </c>
      <c r="I30">
        <v>93</v>
      </c>
      <c r="J30">
        <v>101</v>
      </c>
      <c r="K30">
        <v>121</v>
      </c>
      <c r="L30">
        <v>133</v>
      </c>
      <c r="M30">
        <v>121</v>
      </c>
      <c r="N30">
        <v>133</v>
      </c>
    </row>
    <row r="31" spans="1:14">
      <c r="A31">
        <v>22</v>
      </c>
      <c r="B31" s="68">
        <v>43435</v>
      </c>
      <c r="C31" t="s">
        <v>244</v>
      </c>
      <c r="D31" t="s">
        <v>250</v>
      </c>
      <c r="E31">
        <v>26</v>
      </c>
      <c r="F31">
        <v>30</v>
      </c>
      <c r="G31">
        <v>58</v>
      </c>
      <c r="H31">
        <v>60</v>
      </c>
      <c r="I31">
        <v>89</v>
      </c>
      <c r="J31">
        <v>91</v>
      </c>
      <c r="K31">
        <v>111</v>
      </c>
      <c r="L31">
        <v>110</v>
      </c>
      <c r="M31">
        <v>111</v>
      </c>
      <c r="N31">
        <v>110</v>
      </c>
    </row>
    <row r="32" spans="1:14">
      <c r="A32">
        <v>27</v>
      </c>
      <c r="B32" s="68">
        <v>43446</v>
      </c>
      <c r="C32" t="s">
        <v>244</v>
      </c>
      <c r="D32" t="s">
        <v>259</v>
      </c>
      <c r="E32">
        <v>35</v>
      </c>
      <c r="F32">
        <v>31</v>
      </c>
      <c r="G32">
        <v>63</v>
      </c>
      <c r="H32">
        <v>50</v>
      </c>
      <c r="I32">
        <v>96</v>
      </c>
      <c r="J32">
        <v>92</v>
      </c>
      <c r="K32">
        <v>141</v>
      </c>
      <c r="L32">
        <v>130</v>
      </c>
      <c r="M32">
        <v>141</v>
      </c>
      <c r="N32">
        <v>130</v>
      </c>
    </row>
    <row r="33" spans="1:16">
      <c r="A33">
        <v>28</v>
      </c>
      <c r="B33" s="68">
        <v>43448</v>
      </c>
      <c r="C33" t="s">
        <v>244</v>
      </c>
      <c r="D33" t="s">
        <v>242</v>
      </c>
      <c r="E33">
        <v>38</v>
      </c>
      <c r="F33">
        <v>42</v>
      </c>
      <c r="G33">
        <v>64</v>
      </c>
      <c r="H33">
        <v>76</v>
      </c>
      <c r="I33">
        <v>97</v>
      </c>
      <c r="J33">
        <v>103</v>
      </c>
      <c r="K33">
        <v>125</v>
      </c>
      <c r="L33">
        <v>130</v>
      </c>
      <c r="M33">
        <v>125</v>
      </c>
      <c r="N33">
        <v>130</v>
      </c>
    </row>
    <row r="34" spans="1:16">
      <c r="A34">
        <v>31</v>
      </c>
      <c r="B34" s="68">
        <v>43453</v>
      </c>
      <c r="C34" t="s">
        <v>244</v>
      </c>
      <c r="D34" t="s">
        <v>241</v>
      </c>
      <c r="E34">
        <v>33</v>
      </c>
      <c r="F34">
        <v>36</v>
      </c>
      <c r="G34">
        <v>52</v>
      </c>
      <c r="H34">
        <v>71</v>
      </c>
      <c r="I34">
        <v>89</v>
      </c>
      <c r="J34">
        <v>98</v>
      </c>
      <c r="K34">
        <v>113</v>
      </c>
      <c r="L34">
        <v>132</v>
      </c>
      <c r="M34">
        <v>113</v>
      </c>
      <c r="N34">
        <v>132</v>
      </c>
    </row>
    <row r="35" spans="1:16">
      <c r="A35">
        <v>32</v>
      </c>
      <c r="B35" s="68">
        <v>43455</v>
      </c>
      <c r="C35" t="s">
        <v>244</v>
      </c>
      <c r="D35" t="s">
        <v>249</v>
      </c>
      <c r="E35">
        <v>24</v>
      </c>
      <c r="F35">
        <v>32</v>
      </c>
      <c r="G35">
        <v>40</v>
      </c>
      <c r="H35">
        <v>53</v>
      </c>
      <c r="I35">
        <v>65</v>
      </c>
      <c r="J35">
        <v>74</v>
      </c>
      <c r="K35">
        <v>102</v>
      </c>
      <c r="L35">
        <v>99</v>
      </c>
      <c r="M35">
        <v>102</v>
      </c>
      <c r="N35">
        <v>99</v>
      </c>
    </row>
    <row r="36" spans="1:16">
      <c r="A36">
        <v>33</v>
      </c>
      <c r="B36" s="68">
        <v>43457</v>
      </c>
      <c r="C36" t="s">
        <v>244</v>
      </c>
      <c r="D36" t="s">
        <v>257</v>
      </c>
      <c r="E36">
        <v>25</v>
      </c>
      <c r="F36">
        <v>36</v>
      </c>
      <c r="G36">
        <v>58</v>
      </c>
      <c r="H36">
        <v>69</v>
      </c>
      <c r="I36">
        <v>86</v>
      </c>
      <c r="J36">
        <v>96</v>
      </c>
      <c r="K36">
        <v>122</v>
      </c>
      <c r="L36">
        <v>117</v>
      </c>
      <c r="M36">
        <v>122</v>
      </c>
      <c r="N36">
        <v>117</v>
      </c>
    </row>
    <row r="37" spans="1:16">
      <c r="A37">
        <v>35</v>
      </c>
      <c r="B37" s="68">
        <v>43461</v>
      </c>
      <c r="C37" t="s">
        <v>244</v>
      </c>
      <c r="D37" t="s">
        <v>269</v>
      </c>
      <c r="E37">
        <v>32</v>
      </c>
      <c r="F37">
        <v>34</v>
      </c>
      <c r="G37">
        <v>61</v>
      </c>
      <c r="H37">
        <v>67</v>
      </c>
      <c r="I37">
        <v>84</v>
      </c>
      <c r="J37">
        <v>95</v>
      </c>
      <c r="K37">
        <v>117</v>
      </c>
      <c r="L37">
        <v>116</v>
      </c>
      <c r="M37">
        <v>117</v>
      </c>
      <c r="N37">
        <v>116</v>
      </c>
    </row>
    <row r="38" spans="1:16">
      <c r="A38">
        <v>37</v>
      </c>
      <c r="B38" s="68">
        <v>43466</v>
      </c>
      <c r="C38" t="s">
        <v>244</v>
      </c>
      <c r="D38" t="s">
        <v>270</v>
      </c>
      <c r="E38">
        <v>25</v>
      </c>
      <c r="F38">
        <v>26</v>
      </c>
      <c r="G38">
        <v>50</v>
      </c>
      <c r="H38">
        <v>64</v>
      </c>
      <c r="I38">
        <v>77</v>
      </c>
      <c r="J38">
        <v>83</v>
      </c>
      <c r="K38">
        <v>103</v>
      </c>
      <c r="L38">
        <v>103</v>
      </c>
      <c r="M38">
        <v>108</v>
      </c>
      <c r="N38">
        <v>113</v>
      </c>
      <c r="O38">
        <v>108</v>
      </c>
      <c r="P38">
        <v>113</v>
      </c>
    </row>
    <row r="39" spans="1:16">
      <c r="A39">
        <v>38</v>
      </c>
      <c r="B39" s="68">
        <v>43468</v>
      </c>
      <c r="C39" t="s">
        <v>244</v>
      </c>
      <c r="D39" t="s">
        <v>263</v>
      </c>
      <c r="E39">
        <v>30</v>
      </c>
      <c r="F39">
        <v>30</v>
      </c>
      <c r="G39">
        <v>66</v>
      </c>
      <c r="H39">
        <v>53</v>
      </c>
      <c r="I39">
        <v>84</v>
      </c>
      <c r="J39">
        <v>84</v>
      </c>
      <c r="K39">
        <v>113</v>
      </c>
      <c r="L39">
        <v>117</v>
      </c>
      <c r="M39">
        <v>113</v>
      </c>
      <c r="N39">
        <v>117</v>
      </c>
    </row>
  </sheetData>
  <sortState xmlns:xlrd2="http://schemas.microsoft.com/office/spreadsheetml/2017/richdata2" ref="A2:Z63">
    <sortCondition ref="C1"/>
  </sortState>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R39"/>
  <sheetViews>
    <sheetView topLeftCell="O1" workbookViewId="0">
      <selection activeCell="U3" sqref="U3"/>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20" max="20" width="19.7265625" customWidth="1"/>
    <col min="21" max="21" width="23.542968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43390</v>
      </c>
      <c r="C2" t="s">
        <v>243</v>
      </c>
      <c r="D2" t="s">
        <v>256</v>
      </c>
      <c r="E2">
        <v>25</v>
      </c>
      <c r="F2">
        <v>28</v>
      </c>
      <c r="G2">
        <v>47</v>
      </c>
      <c r="H2">
        <v>60</v>
      </c>
      <c r="I2">
        <v>75</v>
      </c>
      <c r="J2">
        <v>90</v>
      </c>
      <c r="K2">
        <v>104</v>
      </c>
      <c r="L2">
        <v>116</v>
      </c>
      <c r="M2">
        <v>104</v>
      </c>
      <c r="N2">
        <v>116</v>
      </c>
    </row>
    <row r="3" spans="1:18">
      <c r="A3">
        <v>2</v>
      </c>
      <c r="B3" s="68">
        <v>43392</v>
      </c>
      <c r="C3" t="s">
        <v>243</v>
      </c>
      <c r="D3" t="s">
        <v>259</v>
      </c>
      <c r="E3">
        <v>30</v>
      </c>
      <c r="F3">
        <v>32</v>
      </c>
      <c r="G3">
        <v>54</v>
      </c>
      <c r="H3">
        <v>71</v>
      </c>
      <c r="I3">
        <v>95</v>
      </c>
      <c r="J3">
        <v>104</v>
      </c>
      <c r="K3">
        <v>123</v>
      </c>
      <c r="L3">
        <v>131</v>
      </c>
      <c r="M3">
        <v>123</v>
      </c>
      <c r="N3">
        <v>131</v>
      </c>
    </row>
    <row r="4" spans="1:18">
      <c r="A4">
        <v>5</v>
      </c>
      <c r="B4" s="68">
        <v>43398</v>
      </c>
      <c r="C4" t="s">
        <v>243</v>
      </c>
      <c r="D4" t="s">
        <v>248</v>
      </c>
      <c r="E4">
        <v>27</v>
      </c>
      <c r="F4">
        <v>30</v>
      </c>
      <c r="G4">
        <v>50</v>
      </c>
      <c r="H4">
        <v>58</v>
      </c>
      <c r="I4">
        <v>68</v>
      </c>
      <c r="J4">
        <v>80</v>
      </c>
      <c r="K4">
        <v>103</v>
      </c>
      <c r="L4">
        <v>110</v>
      </c>
      <c r="M4">
        <v>103</v>
      </c>
      <c r="N4">
        <v>110</v>
      </c>
    </row>
    <row r="5" spans="1:18">
      <c r="A5">
        <v>9</v>
      </c>
      <c r="B5" s="68">
        <v>43407</v>
      </c>
      <c r="C5" t="s">
        <v>243</v>
      </c>
      <c r="D5" t="s">
        <v>246</v>
      </c>
      <c r="E5">
        <v>22</v>
      </c>
      <c r="F5">
        <v>30</v>
      </c>
      <c r="G5">
        <v>52</v>
      </c>
      <c r="H5">
        <v>59</v>
      </c>
      <c r="I5">
        <v>73</v>
      </c>
      <c r="J5">
        <v>93</v>
      </c>
      <c r="K5">
        <v>94</v>
      </c>
      <c r="L5">
        <v>126</v>
      </c>
      <c r="M5">
        <v>94</v>
      </c>
      <c r="N5">
        <v>126</v>
      </c>
    </row>
    <row r="6" spans="1:18">
      <c r="A6">
        <v>10</v>
      </c>
      <c r="B6" s="68">
        <v>43409</v>
      </c>
      <c r="C6" t="s">
        <v>243</v>
      </c>
      <c r="D6" t="s">
        <v>252</v>
      </c>
      <c r="E6">
        <v>21</v>
      </c>
      <c r="F6">
        <v>30</v>
      </c>
      <c r="G6">
        <v>47</v>
      </c>
      <c r="H6">
        <v>58</v>
      </c>
      <c r="I6">
        <v>79</v>
      </c>
      <c r="J6">
        <v>70</v>
      </c>
      <c r="K6">
        <v>100</v>
      </c>
      <c r="L6">
        <v>102</v>
      </c>
      <c r="M6">
        <v>100</v>
      </c>
      <c r="N6">
        <v>102</v>
      </c>
    </row>
    <row r="7" spans="1:18">
      <c r="A7">
        <v>12</v>
      </c>
      <c r="B7" s="68">
        <v>43414</v>
      </c>
      <c r="C7" t="s">
        <v>243</v>
      </c>
      <c r="D7" t="s">
        <v>267</v>
      </c>
      <c r="E7">
        <v>23</v>
      </c>
      <c r="F7">
        <v>37</v>
      </c>
      <c r="G7">
        <v>53</v>
      </c>
      <c r="H7">
        <v>53</v>
      </c>
      <c r="I7">
        <v>77</v>
      </c>
      <c r="J7">
        <v>79</v>
      </c>
      <c r="K7">
        <v>98</v>
      </c>
      <c r="L7">
        <v>99</v>
      </c>
      <c r="M7">
        <v>98</v>
      </c>
      <c r="N7">
        <v>99</v>
      </c>
    </row>
    <row r="8" spans="1:18">
      <c r="A8">
        <v>14</v>
      </c>
      <c r="B8" s="68">
        <v>43418</v>
      </c>
      <c r="C8" t="s">
        <v>243</v>
      </c>
      <c r="D8" t="s">
        <v>268</v>
      </c>
      <c r="E8">
        <v>29</v>
      </c>
      <c r="F8">
        <v>41</v>
      </c>
      <c r="G8">
        <v>52</v>
      </c>
      <c r="H8">
        <v>73</v>
      </c>
      <c r="I8">
        <v>74</v>
      </c>
      <c r="J8">
        <v>96</v>
      </c>
      <c r="K8">
        <v>95</v>
      </c>
      <c r="L8">
        <v>119</v>
      </c>
      <c r="M8">
        <v>95</v>
      </c>
      <c r="N8">
        <v>119</v>
      </c>
    </row>
    <row r="9" spans="1:18">
      <c r="A9">
        <v>15</v>
      </c>
      <c r="B9" s="68">
        <v>43423</v>
      </c>
      <c r="C9" t="s">
        <v>243</v>
      </c>
      <c r="D9" t="s">
        <v>248</v>
      </c>
      <c r="E9">
        <v>27</v>
      </c>
      <c r="F9">
        <v>38</v>
      </c>
      <c r="G9">
        <v>46</v>
      </c>
      <c r="H9">
        <v>66</v>
      </c>
      <c r="I9">
        <v>69</v>
      </c>
      <c r="J9">
        <v>93</v>
      </c>
      <c r="K9">
        <v>102</v>
      </c>
      <c r="L9">
        <v>113</v>
      </c>
      <c r="M9">
        <v>102</v>
      </c>
      <c r="N9">
        <v>113</v>
      </c>
    </row>
    <row r="10" spans="1:18">
      <c r="A10">
        <v>17</v>
      </c>
      <c r="B10" s="68">
        <v>43427</v>
      </c>
      <c r="C10" t="s">
        <v>243</v>
      </c>
      <c r="D10" t="s">
        <v>239</v>
      </c>
      <c r="E10">
        <v>31</v>
      </c>
      <c r="F10">
        <v>23</v>
      </c>
      <c r="G10">
        <v>54</v>
      </c>
      <c r="H10">
        <v>54</v>
      </c>
      <c r="I10">
        <v>84</v>
      </c>
      <c r="J10">
        <v>83</v>
      </c>
      <c r="K10">
        <v>121</v>
      </c>
      <c r="L10">
        <v>112</v>
      </c>
      <c r="M10">
        <v>121</v>
      </c>
      <c r="N10">
        <v>112</v>
      </c>
    </row>
    <row r="11" spans="1:18">
      <c r="A11">
        <v>20</v>
      </c>
      <c r="B11" s="68">
        <v>43432</v>
      </c>
      <c r="C11" t="s">
        <v>243</v>
      </c>
      <c r="D11" t="s">
        <v>241</v>
      </c>
      <c r="E11">
        <v>28</v>
      </c>
      <c r="F11">
        <v>21</v>
      </c>
      <c r="G11">
        <v>47</v>
      </c>
      <c r="H11">
        <v>47</v>
      </c>
      <c r="I11">
        <v>62</v>
      </c>
      <c r="J11">
        <v>73</v>
      </c>
      <c r="K11">
        <v>83</v>
      </c>
      <c r="L11">
        <v>100</v>
      </c>
      <c r="M11">
        <v>83</v>
      </c>
      <c r="N11">
        <v>100</v>
      </c>
    </row>
    <row r="12" spans="1:18">
      <c r="A12">
        <v>21</v>
      </c>
      <c r="B12" s="68">
        <v>43434</v>
      </c>
      <c r="C12" t="s">
        <v>243</v>
      </c>
      <c r="D12" t="s">
        <v>240</v>
      </c>
      <c r="E12">
        <v>26</v>
      </c>
      <c r="F12">
        <v>30</v>
      </c>
      <c r="G12">
        <v>52</v>
      </c>
      <c r="H12">
        <v>62</v>
      </c>
      <c r="I12">
        <v>72</v>
      </c>
      <c r="J12">
        <v>101</v>
      </c>
      <c r="K12">
        <v>95</v>
      </c>
      <c r="L12">
        <v>128</v>
      </c>
      <c r="M12">
        <v>95</v>
      </c>
      <c r="N12">
        <v>128</v>
      </c>
    </row>
    <row r="13" spans="1:18">
      <c r="A13">
        <v>23</v>
      </c>
      <c r="B13" s="68">
        <v>43437</v>
      </c>
      <c r="C13" t="s">
        <v>243</v>
      </c>
      <c r="D13" t="s">
        <v>247</v>
      </c>
      <c r="E13">
        <v>30</v>
      </c>
      <c r="F13">
        <v>29</v>
      </c>
      <c r="G13">
        <v>56</v>
      </c>
      <c r="H13">
        <v>50</v>
      </c>
      <c r="I13">
        <v>80</v>
      </c>
      <c r="J13">
        <v>76</v>
      </c>
      <c r="K13">
        <v>99</v>
      </c>
      <c r="L13">
        <v>97</v>
      </c>
      <c r="M13">
        <v>99</v>
      </c>
      <c r="N13">
        <v>97</v>
      </c>
    </row>
    <row r="14" spans="1:18">
      <c r="A14">
        <v>27</v>
      </c>
      <c r="B14" s="68">
        <v>43444</v>
      </c>
      <c r="C14" t="s">
        <v>243</v>
      </c>
      <c r="D14" t="s">
        <v>245</v>
      </c>
      <c r="E14">
        <v>18</v>
      </c>
      <c r="F14">
        <v>31</v>
      </c>
      <c r="G14">
        <v>41</v>
      </c>
      <c r="H14">
        <v>59</v>
      </c>
      <c r="I14">
        <v>66</v>
      </c>
      <c r="J14">
        <v>84</v>
      </c>
      <c r="K14">
        <v>92</v>
      </c>
      <c r="L14">
        <v>108</v>
      </c>
      <c r="M14">
        <v>92</v>
      </c>
      <c r="N14">
        <v>108</v>
      </c>
    </row>
    <row r="15" spans="1:18">
      <c r="A15">
        <v>31</v>
      </c>
      <c r="B15" s="68">
        <v>43452</v>
      </c>
      <c r="C15" t="s">
        <v>243</v>
      </c>
      <c r="D15" t="s">
        <v>250</v>
      </c>
      <c r="E15">
        <v>21</v>
      </c>
      <c r="F15">
        <v>19</v>
      </c>
      <c r="G15">
        <v>45</v>
      </c>
      <c r="H15">
        <v>44</v>
      </c>
      <c r="I15">
        <v>67</v>
      </c>
      <c r="J15">
        <v>68</v>
      </c>
      <c r="K15">
        <v>92</v>
      </c>
      <c r="L15">
        <v>91</v>
      </c>
      <c r="M15">
        <v>92</v>
      </c>
      <c r="N15">
        <v>91</v>
      </c>
    </row>
    <row r="16" spans="1:18">
      <c r="A16">
        <v>32</v>
      </c>
      <c r="B16" s="68">
        <v>43453</v>
      </c>
      <c r="C16" t="s">
        <v>243</v>
      </c>
      <c r="D16" t="s">
        <v>246</v>
      </c>
      <c r="E16">
        <v>25</v>
      </c>
      <c r="F16">
        <v>16</v>
      </c>
      <c r="G16">
        <v>46</v>
      </c>
      <c r="H16">
        <v>41</v>
      </c>
      <c r="I16">
        <v>75</v>
      </c>
      <c r="J16">
        <v>82</v>
      </c>
      <c r="K16">
        <v>99</v>
      </c>
      <c r="L16">
        <v>110</v>
      </c>
      <c r="M16">
        <v>99</v>
      </c>
      <c r="N16">
        <v>110</v>
      </c>
    </row>
    <row r="17" spans="1:14">
      <c r="A17">
        <v>33</v>
      </c>
      <c r="B17" s="68">
        <v>43455</v>
      </c>
      <c r="C17" t="s">
        <v>243</v>
      </c>
      <c r="D17" t="s">
        <v>256</v>
      </c>
      <c r="E17">
        <v>28</v>
      </c>
      <c r="F17">
        <v>34</v>
      </c>
      <c r="G17">
        <v>52</v>
      </c>
      <c r="H17">
        <v>59</v>
      </c>
      <c r="I17">
        <v>93</v>
      </c>
      <c r="J17">
        <v>99</v>
      </c>
      <c r="K17">
        <v>110</v>
      </c>
      <c r="L17">
        <v>126</v>
      </c>
      <c r="M17">
        <v>110</v>
      </c>
      <c r="N17">
        <v>126</v>
      </c>
    </row>
    <row r="18" spans="1:14">
      <c r="A18">
        <v>35</v>
      </c>
      <c r="B18" s="68">
        <v>43460</v>
      </c>
      <c r="C18" t="s">
        <v>243</v>
      </c>
      <c r="D18" t="s">
        <v>249</v>
      </c>
      <c r="E18">
        <v>9</v>
      </c>
      <c r="F18">
        <v>21</v>
      </c>
      <c r="G18">
        <v>32</v>
      </c>
      <c r="H18">
        <v>45</v>
      </c>
      <c r="I18">
        <v>53</v>
      </c>
      <c r="J18">
        <v>65</v>
      </c>
      <c r="K18">
        <v>87</v>
      </c>
      <c r="L18">
        <v>95</v>
      </c>
      <c r="M18">
        <v>87</v>
      </c>
      <c r="N18">
        <v>95</v>
      </c>
    </row>
    <row r="19" spans="1:14">
      <c r="A19">
        <v>36</v>
      </c>
      <c r="B19" s="68">
        <v>43462</v>
      </c>
      <c r="C19" t="s">
        <v>243</v>
      </c>
      <c r="D19" t="s">
        <v>251</v>
      </c>
      <c r="E19">
        <v>30</v>
      </c>
      <c r="F19">
        <v>29</v>
      </c>
      <c r="G19">
        <v>52</v>
      </c>
      <c r="H19">
        <v>56</v>
      </c>
      <c r="I19">
        <v>69</v>
      </c>
      <c r="J19">
        <v>82</v>
      </c>
      <c r="K19">
        <v>94</v>
      </c>
      <c r="L19">
        <v>118</v>
      </c>
      <c r="M19">
        <v>94</v>
      </c>
      <c r="N19">
        <v>118</v>
      </c>
    </row>
    <row r="20" spans="1:14">
      <c r="A20">
        <v>37</v>
      </c>
      <c r="B20" s="68">
        <v>43463</v>
      </c>
      <c r="C20" t="s">
        <v>243</v>
      </c>
      <c r="D20" t="s">
        <v>253</v>
      </c>
      <c r="E20">
        <v>26</v>
      </c>
      <c r="F20">
        <v>23</v>
      </c>
      <c r="G20">
        <v>51</v>
      </c>
      <c r="H20">
        <v>57</v>
      </c>
      <c r="I20">
        <v>74</v>
      </c>
      <c r="J20">
        <v>84</v>
      </c>
      <c r="K20">
        <v>108</v>
      </c>
      <c r="L20">
        <v>111</v>
      </c>
      <c r="M20">
        <v>108</v>
      </c>
      <c r="N20">
        <v>111</v>
      </c>
    </row>
    <row r="21" spans="1:14">
      <c r="A21">
        <v>3</v>
      </c>
      <c r="B21" s="68">
        <v>43394</v>
      </c>
      <c r="C21" t="s">
        <v>244</v>
      </c>
      <c r="D21" t="s">
        <v>253</v>
      </c>
      <c r="E21">
        <v>34</v>
      </c>
      <c r="F21">
        <v>24</v>
      </c>
      <c r="G21">
        <v>60</v>
      </c>
      <c r="H21">
        <v>64</v>
      </c>
      <c r="I21">
        <v>86</v>
      </c>
      <c r="J21">
        <v>92</v>
      </c>
      <c r="K21">
        <v>111</v>
      </c>
      <c r="L21">
        <v>133</v>
      </c>
      <c r="M21">
        <v>111</v>
      </c>
      <c r="N21">
        <v>133</v>
      </c>
    </row>
    <row r="22" spans="1:14">
      <c r="A22">
        <v>4</v>
      </c>
      <c r="B22" s="68">
        <v>43397</v>
      </c>
      <c r="C22" t="s">
        <v>244</v>
      </c>
      <c r="D22" t="s">
        <v>247</v>
      </c>
      <c r="E22">
        <v>17</v>
      </c>
      <c r="F22">
        <v>24</v>
      </c>
      <c r="G22">
        <v>45</v>
      </c>
      <c r="H22">
        <v>45</v>
      </c>
      <c r="I22">
        <v>62</v>
      </c>
      <c r="J22">
        <v>83</v>
      </c>
      <c r="K22">
        <v>86</v>
      </c>
      <c r="L22">
        <v>102</v>
      </c>
      <c r="M22">
        <v>86</v>
      </c>
      <c r="N22">
        <v>102</v>
      </c>
    </row>
    <row r="23" spans="1:14">
      <c r="A23">
        <v>6</v>
      </c>
      <c r="B23" s="68">
        <v>43400</v>
      </c>
      <c r="C23" t="s">
        <v>244</v>
      </c>
      <c r="D23" t="s">
        <v>250</v>
      </c>
      <c r="E23">
        <v>30</v>
      </c>
      <c r="F23">
        <v>30</v>
      </c>
      <c r="G23">
        <v>55</v>
      </c>
      <c r="H23">
        <v>60</v>
      </c>
      <c r="I23">
        <v>83</v>
      </c>
      <c r="J23">
        <v>88</v>
      </c>
      <c r="K23">
        <v>107</v>
      </c>
      <c r="L23">
        <v>119</v>
      </c>
      <c r="M23">
        <v>107</v>
      </c>
      <c r="N23">
        <v>119</v>
      </c>
    </row>
    <row r="24" spans="1:14">
      <c r="A24">
        <v>7</v>
      </c>
      <c r="B24" s="68">
        <v>43403</v>
      </c>
      <c r="C24" t="s">
        <v>244</v>
      </c>
      <c r="D24" t="s">
        <v>253</v>
      </c>
      <c r="E24">
        <v>35</v>
      </c>
      <c r="F24">
        <v>31</v>
      </c>
      <c r="G24">
        <v>58</v>
      </c>
      <c r="H24">
        <v>57</v>
      </c>
      <c r="I24">
        <v>99</v>
      </c>
      <c r="J24">
        <v>87</v>
      </c>
      <c r="K24">
        <v>136</v>
      </c>
      <c r="L24">
        <v>114</v>
      </c>
      <c r="M24">
        <v>136</v>
      </c>
      <c r="N24">
        <v>114</v>
      </c>
    </row>
    <row r="25" spans="1:14">
      <c r="A25">
        <v>8</v>
      </c>
      <c r="B25" s="68">
        <v>43405</v>
      </c>
      <c r="C25" t="s">
        <v>244</v>
      </c>
      <c r="D25" t="s">
        <v>263</v>
      </c>
      <c r="E25">
        <v>27</v>
      </c>
      <c r="F25">
        <v>15</v>
      </c>
      <c r="G25">
        <v>42</v>
      </c>
      <c r="H25">
        <v>50</v>
      </c>
      <c r="I25">
        <v>66</v>
      </c>
      <c r="J25">
        <v>83</v>
      </c>
      <c r="K25">
        <v>91</v>
      </c>
      <c r="L25">
        <v>110</v>
      </c>
      <c r="M25">
        <v>91</v>
      </c>
      <c r="N25">
        <v>110</v>
      </c>
    </row>
    <row r="26" spans="1:14">
      <c r="A26">
        <v>11</v>
      </c>
      <c r="B26" s="68">
        <v>43411</v>
      </c>
      <c r="C26" t="s">
        <v>244</v>
      </c>
      <c r="D26" t="s">
        <v>241</v>
      </c>
      <c r="E26">
        <v>20</v>
      </c>
      <c r="F26">
        <v>23</v>
      </c>
      <c r="G26">
        <v>40</v>
      </c>
      <c r="H26">
        <v>48</v>
      </c>
      <c r="I26">
        <v>64</v>
      </c>
      <c r="J26">
        <v>71</v>
      </c>
      <c r="K26">
        <v>86</v>
      </c>
      <c r="L26">
        <v>95</v>
      </c>
      <c r="M26">
        <v>86</v>
      </c>
      <c r="N26">
        <v>95</v>
      </c>
    </row>
    <row r="27" spans="1:14">
      <c r="A27">
        <v>13</v>
      </c>
      <c r="B27" s="68">
        <v>43417</v>
      </c>
      <c r="C27" t="s">
        <v>244</v>
      </c>
      <c r="D27" t="s">
        <v>246</v>
      </c>
      <c r="E27">
        <v>38</v>
      </c>
      <c r="F27">
        <v>23</v>
      </c>
      <c r="G27">
        <v>67</v>
      </c>
      <c r="H27">
        <v>51</v>
      </c>
      <c r="I27">
        <v>88</v>
      </c>
      <c r="J27">
        <v>69</v>
      </c>
      <c r="K27">
        <v>113</v>
      </c>
      <c r="L27">
        <v>89</v>
      </c>
      <c r="M27">
        <v>113</v>
      </c>
      <c r="N27">
        <v>89</v>
      </c>
    </row>
    <row r="28" spans="1:14">
      <c r="A28">
        <v>16</v>
      </c>
      <c r="B28" s="68">
        <v>43425</v>
      </c>
      <c r="C28" t="s">
        <v>244</v>
      </c>
      <c r="D28" t="s">
        <v>269</v>
      </c>
      <c r="E28">
        <v>28</v>
      </c>
      <c r="F28">
        <v>24</v>
      </c>
      <c r="G28">
        <v>52</v>
      </c>
      <c r="H28">
        <v>49</v>
      </c>
      <c r="I28">
        <v>81</v>
      </c>
      <c r="J28">
        <v>81</v>
      </c>
      <c r="K28">
        <v>105</v>
      </c>
      <c r="L28">
        <v>109</v>
      </c>
      <c r="M28">
        <v>105</v>
      </c>
      <c r="N28">
        <v>109</v>
      </c>
    </row>
    <row r="29" spans="1:14">
      <c r="A29">
        <v>18</v>
      </c>
      <c r="B29" s="68">
        <v>43428</v>
      </c>
      <c r="C29" t="s">
        <v>244</v>
      </c>
      <c r="D29" t="s">
        <v>258</v>
      </c>
      <c r="E29">
        <v>29</v>
      </c>
      <c r="F29">
        <v>30</v>
      </c>
      <c r="G29">
        <v>63</v>
      </c>
      <c r="H29">
        <v>58</v>
      </c>
      <c r="I29">
        <v>93</v>
      </c>
      <c r="J29">
        <v>83</v>
      </c>
      <c r="K29">
        <v>117</v>
      </c>
      <c r="L29">
        <v>108</v>
      </c>
      <c r="M29">
        <v>117</v>
      </c>
      <c r="N29">
        <v>108</v>
      </c>
    </row>
    <row r="30" spans="1:14">
      <c r="A30">
        <v>19</v>
      </c>
      <c r="B30" s="68">
        <v>43430</v>
      </c>
      <c r="C30" t="s">
        <v>244</v>
      </c>
      <c r="D30" t="s">
        <v>259</v>
      </c>
      <c r="E30">
        <v>26</v>
      </c>
      <c r="F30">
        <v>29</v>
      </c>
      <c r="G30">
        <v>47</v>
      </c>
      <c r="H30">
        <v>54</v>
      </c>
      <c r="I30">
        <v>71</v>
      </c>
      <c r="J30">
        <v>75</v>
      </c>
      <c r="K30">
        <v>95</v>
      </c>
      <c r="L30">
        <v>102</v>
      </c>
      <c r="M30">
        <v>95</v>
      </c>
      <c r="N30">
        <v>102</v>
      </c>
    </row>
    <row r="31" spans="1:14">
      <c r="A31">
        <v>22</v>
      </c>
      <c r="B31" s="68">
        <v>43435</v>
      </c>
      <c r="C31" t="s">
        <v>244</v>
      </c>
      <c r="D31" t="s">
        <v>256</v>
      </c>
      <c r="E31">
        <v>21</v>
      </c>
      <c r="F31">
        <v>21</v>
      </c>
      <c r="G31">
        <v>40</v>
      </c>
      <c r="H31">
        <v>47</v>
      </c>
      <c r="I31">
        <v>67</v>
      </c>
      <c r="J31">
        <v>77</v>
      </c>
      <c r="K31">
        <v>95</v>
      </c>
      <c r="L31">
        <v>106</v>
      </c>
      <c r="M31">
        <v>95</v>
      </c>
      <c r="N31">
        <v>106</v>
      </c>
    </row>
    <row r="32" spans="1:14">
      <c r="A32">
        <v>24</v>
      </c>
      <c r="B32" s="68">
        <v>43439</v>
      </c>
      <c r="C32" t="s">
        <v>244</v>
      </c>
      <c r="D32" t="s">
        <v>242</v>
      </c>
      <c r="E32">
        <v>25</v>
      </c>
      <c r="F32">
        <v>31</v>
      </c>
      <c r="G32">
        <v>64</v>
      </c>
      <c r="H32">
        <v>58</v>
      </c>
      <c r="I32">
        <v>86</v>
      </c>
      <c r="J32">
        <v>95</v>
      </c>
      <c r="K32">
        <v>105</v>
      </c>
      <c r="L32">
        <v>129</v>
      </c>
      <c r="M32">
        <v>105</v>
      </c>
      <c r="N32">
        <v>129</v>
      </c>
    </row>
    <row r="33" spans="1:14">
      <c r="A33">
        <v>25</v>
      </c>
      <c r="B33" s="68">
        <v>43441</v>
      </c>
      <c r="C33" t="s">
        <v>244</v>
      </c>
      <c r="D33" t="s">
        <v>262</v>
      </c>
      <c r="E33">
        <v>27</v>
      </c>
      <c r="F33">
        <v>38</v>
      </c>
      <c r="G33">
        <v>66</v>
      </c>
      <c r="H33">
        <v>66</v>
      </c>
      <c r="I33">
        <v>89</v>
      </c>
      <c r="J33">
        <v>96</v>
      </c>
      <c r="K33">
        <v>110</v>
      </c>
      <c r="L33">
        <v>129</v>
      </c>
      <c r="M33">
        <v>110</v>
      </c>
      <c r="N33">
        <v>129</v>
      </c>
    </row>
    <row r="34" spans="1:14">
      <c r="A34">
        <v>26</v>
      </c>
      <c r="B34" s="68">
        <v>43442</v>
      </c>
      <c r="C34" t="s">
        <v>244</v>
      </c>
      <c r="D34" t="s">
        <v>268</v>
      </c>
      <c r="E34">
        <v>38</v>
      </c>
      <c r="F34">
        <v>25</v>
      </c>
      <c r="G34">
        <v>62</v>
      </c>
      <c r="H34">
        <v>46</v>
      </c>
      <c r="I34">
        <v>87</v>
      </c>
      <c r="J34">
        <v>66</v>
      </c>
      <c r="K34">
        <v>116</v>
      </c>
      <c r="L34">
        <v>101</v>
      </c>
      <c r="M34">
        <v>116</v>
      </c>
      <c r="N34">
        <v>101</v>
      </c>
    </row>
    <row r="35" spans="1:14">
      <c r="A35">
        <v>28</v>
      </c>
      <c r="B35" s="68">
        <v>43446</v>
      </c>
      <c r="C35" t="s">
        <v>244</v>
      </c>
      <c r="D35" t="s">
        <v>254</v>
      </c>
      <c r="E35">
        <v>39</v>
      </c>
      <c r="F35">
        <v>23</v>
      </c>
      <c r="G35">
        <v>65</v>
      </c>
      <c r="H35">
        <v>54</v>
      </c>
      <c r="I35">
        <v>86</v>
      </c>
      <c r="J35">
        <v>86</v>
      </c>
      <c r="K35">
        <v>113</v>
      </c>
      <c r="L35">
        <v>106</v>
      </c>
      <c r="M35">
        <v>113</v>
      </c>
      <c r="N35">
        <v>106</v>
      </c>
    </row>
    <row r="36" spans="1:14">
      <c r="A36">
        <v>29</v>
      </c>
      <c r="B36" s="68">
        <v>43448</v>
      </c>
      <c r="C36" t="s">
        <v>244</v>
      </c>
      <c r="D36" t="s">
        <v>245</v>
      </c>
      <c r="E36">
        <v>16</v>
      </c>
      <c r="F36">
        <v>27</v>
      </c>
      <c r="G36">
        <v>47</v>
      </c>
      <c r="H36">
        <v>61</v>
      </c>
      <c r="I36">
        <v>77</v>
      </c>
      <c r="J36">
        <v>91</v>
      </c>
      <c r="K36">
        <v>102</v>
      </c>
      <c r="L36">
        <v>114</v>
      </c>
      <c r="M36">
        <v>102</v>
      </c>
      <c r="N36">
        <v>114</v>
      </c>
    </row>
    <row r="37" spans="1:14">
      <c r="A37">
        <v>30</v>
      </c>
      <c r="B37" s="68">
        <v>43450</v>
      </c>
      <c r="C37" t="s">
        <v>244</v>
      </c>
      <c r="D37" t="s">
        <v>239</v>
      </c>
      <c r="E37">
        <v>36</v>
      </c>
      <c r="F37">
        <v>29</v>
      </c>
      <c r="G37">
        <v>58</v>
      </c>
      <c r="H37">
        <v>65</v>
      </c>
      <c r="I37">
        <v>85</v>
      </c>
      <c r="J37">
        <v>89</v>
      </c>
      <c r="K37">
        <v>105</v>
      </c>
      <c r="L37">
        <v>128</v>
      </c>
      <c r="M37">
        <v>105</v>
      </c>
      <c r="N37">
        <v>128</v>
      </c>
    </row>
    <row r="38" spans="1:14">
      <c r="A38">
        <v>34</v>
      </c>
      <c r="B38" s="68">
        <v>43457</v>
      </c>
      <c r="C38" t="s">
        <v>244</v>
      </c>
      <c r="D38" t="s">
        <v>267</v>
      </c>
      <c r="E38">
        <v>29</v>
      </c>
      <c r="F38">
        <v>28</v>
      </c>
      <c r="G38">
        <v>59</v>
      </c>
      <c r="H38">
        <v>54</v>
      </c>
      <c r="I38">
        <v>74</v>
      </c>
      <c r="J38">
        <v>84</v>
      </c>
      <c r="K38">
        <v>92</v>
      </c>
      <c r="L38">
        <v>112</v>
      </c>
      <c r="M38">
        <v>92</v>
      </c>
      <c r="N38">
        <v>112</v>
      </c>
    </row>
    <row r="39" spans="1:14">
      <c r="A39">
        <v>38</v>
      </c>
      <c r="B39" s="68">
        <v>43467</v>
      </c>
      <c r="C39" t="s">
        <v>244</v>
      </c>
      <c r="D39" t="s">
        <v>251</v>
      </c>
      <c r="E39">
        <v>23</v>
      </c>
      <c r="F39">
        <v>22</v>
      </c>
      <c r="G39">
        <v>43</v>
      </c>
      <c r="H39">
        <v>58</v>
      </c>
      <c r="I39">
        <v>73</v>
      </c>
      <c r="J39">
        <v>93</v>
      </c>
      <c r="K39">
        <v>92</v>
      </c>
      <c r="L39">
        <v>117</v>
      </c>
      <c r="M39">
        <v>92</v>
      </c>
      <c r="N39">
        <v>117</v>
      </c>
    </row>
  </sheetData>
  <sortState xmlns:xlrd2="http://schemas.microsoft.com/office/spreadsheetml/2017/richdata2" ref="A2:R65">
    <sortCondition ref="C1"/>
  </sortState>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R40"/>
  <sheetViews>
    <sheetView topLeftCell="S1" workbookViewId="0">
      <selection activeCell="V1" sqref="V1"/>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1796875" customWidth="1"/>
    <col min="20" max="20" width="19.1796875" customWidth="1"/>
    <col min="21" max="21" width="22.90625" customWidth="1"/>
    <col min="22" max="22" width="19" customWidth="1"/>
    <col min="23" max="23" width="23.08984375" customWidth="1"/>
    <col min="24" max="24" width="19.453125" customWidth="1"/>
    <col min="25" max="25" width="23.6328125" customWidth="1"/>
    <col min="26" max="26" width="22.453125" customWidth="1"/>
    <col min="27" max="27" width="26.9062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43393</v>
      </c>
      <c r="C2" t="s">
        <v>243</v>
      </c>
      <c r="D2" t="s">
        <v>270</v>
      </c>
      <c r="E2">
        <v>22</v>
      </c>
      <c r="F2">
        <v>22</v>
      </c>
      <c r="G2">
        <v>50</v>
      </c>
      <c r="H2">
        <v>59</v>
      </c>
      <c r="I2">
        <v>82</v>
      </c>
      <c r="J2">
        <v>97</v>
      </c>
      <c r="K2">
        <v>108</v>
      </c>
      <c r="L2">
        <v>121</v>
      </c>
      <c r="M2">
        <v>108</v>
      </c>
      <c r="N2">
        <v>121</v>
      </c>
    </row>
    <row r="3" spans="1:18">
      <c r="A3">
        <v>3</v>
      </c>
      <c r="B3" s="68">
        <v>43395</v>
      </c>
      <c r="C3" t="s">
        <v>243</v>
      </c>
      <c r="D3" t="s">
        <v>269</v>
      </c>
      <c r="E3">
        <v>40</v>
      </c>
      <c r="F3">
        <v>26</v>
      </c>
      <c r="G3">
        <v>65</v>
      </c>
      <c r="H3">
        <v>60</v>
      </c>
      <c r="I3">
        <v>99</v>
      </c>
      <c r="J3">
        <v>96</v>
      </c>
      <c r="K3">
        <v>128</v>
      </c>
      <c r="L3">
        <v>128</v>
      </c>
      <c r="M3">
        <v>143</v>
      </c>
      <c r="N3">
        <v>142</v>
      </c>
      <c r="O3">
        <v>143</v>
      </c>
      <c r="P3">
        <v>142</v>
      </c>
    </row>
    <row r="4" spans="1:18">
      <c r="A4">
        <v>7</v>
      </c>
      <c r="B4" s="68">
        <v>43404</v>
      </c>
      <c r="C4" t="s">
        <v>243</v>
      </c>
      <c r="D4" t="s">
        <v>266</v>
      </c>
      <c r="E4">
        <v>28</v>
      </c>
      <c r="F4">
        <v>15</v>
      </c>
      <c r="G4">
        <v>60</v>
      </c>
      <c r="H4">
        <v>39</v>
      </c>
      <c r="I4">
        <v>94</v>
      </c>
      <c r="J4">
        <v>66</v>
      </c>
      <c r="K4">
        <v>120</v>
      </c>
      <c r="L4">
        <v>90</v>
      </c>
      <c r="M4">
        <v>120</v>
      </c>
      <c r="N4">
        <v>90</v>
      </c>
    </row>
    <row r="5" spans="1:18">
      <c r="A5">
        <v>10</v>
      </c>
      <c r="B5" s="68">
        <v>43411</v>
      </c>
      <c r="C5" t="s">
        <v>243</v>
      </c>
      <c r="D5" t="s">
        <v>251</v>
      </c>
      <c r="E5">
        <v>20</v>
      </c>
      <c r="F5">
        <v>27</v>
      </c>
      <c r="G5">
        <v>42</v>
      </c>
      <c r="H5">
        <v>50</v>
      </c>
      <c r="I5">
        <v>64</v>
      </c>
      <c r="J5">
        <v>75</v>
      </c>
      <c r="K5">
        <v>88</v>
      </c>
      <c r="L5">
        <v>95</v>
      </c>
      <c r="M5">
        <v>88</v>
      </c>
      <c r="N5">
        <v>95</v>
      </c>
    </row>
    <row r="6" spans="1:18">
      <c r="A6">
        <v>12</v>
      </c>
      <c r="B6" s="68">
        <v>43416</v>
      </c>
      <c r="C6" t="s">
        <v>243</v>
      </c>
      <c r="D6" t="s">
        <v>262</v>
      </c>
      <c r="E6">
        <v>24</v>
      </c>
      <c r="F6">
        <v>25</v>
      </c>
      <c r="G6">
        <v>55</v>
      </c>
      <c r="H6">
        <v>56</v>
      </c>
      <c r="I6">
        <v>76</v>
      </c>
      <c r="J6">
        <v>77</v>
      </c>
      <c r="K6">
        <v>99</v>
      </c>
      <c r="L6">
        <v>104</v>
      </c>
      <c r="M6">
        <v>99</v>
      </c>
      <c r="N6">
        <v>104</v>
      </c>
    </row>
    <row r="7" spans="1:18">
      <c r="A7">
        <v>13</v>
      </c>
      <c r="B7" s="68">
        <v>43418</v>
      </c>
      <c r="C7" t="s">
        <v>243</v>
      </c>
      <c r="D7" t="s">
        <v>266</v>
      </c>
      <c r="E7">
        <v>19</v>
      </c>
      <c r="F7">
        <v>34</v>
      </c>
      <c r="G7">
        <v>48</v>
      </c>
      <c r="H7">
        <v>52</v>
      </c>
      <c r="I7">
        <v>70</v>
      </c>
      <c r="J7">
        <v>87</v>
      </c>
      <c r="K7">
        <v>96</v>
      </c>
      <c r="L7">
        <v>116</v>
      </c>
      <c r="M7">
        <v>96</v>
      </c>
      <c r="N7">
        <v>116</v>
      </c>
    </row>
    <row r="8" spans="1:18">
      <c r="A8">
        <v>14</v>
      </c>
      <c r="B8" s="68">
        <v>43419</v>
      </c>
      <c r="C8" t="s">
        <v>243</v>
      </c>
      <c r="D8" t="s">
        <v>264</v>
      </c>
      <c r="E8">
        <v>28</v>
      </c>
      <c r="F8">
        <v>29</v>
      </c>
      <c r="G8">
        <v>60</v>
      </c>
      <c r="H8">
        <v>61</v>
      </c>
      <c r="I8">
        <v>84</v>
      </c>
      <c r="J8">
        <v>91</v>
      </c>
      <c r="K8">
        <v>111</v>
      </c>
      <c r="L8">
        <v>116</v>
      </c>
      <c r="M8">
        <v>111</v>
      </c>
      <c r="N8">
        <v>116</v>
      </c>
    </row>
    <row r="9" spans="1:18">
      <c r="A9">
        <v>16</v>
      </c>
      <c r="B9" s="68">
        <v>43423</v>
      </c>
      <c r="C9" t="s">
        <v>243</v>
      </c>
      <c r="D9" t="s">
        <v>257</v>
      </c>
      <c r="E9">
        <v>39</v>
      </c>
      <c r="F9">
        <v>30</v>
      </c>
      <c r="G9">
        <v>67</v>
      </c>
      <c r="H9">
        <v>68</v>
      </c>
      <c r="I9">
        <v>97</v>
      </c>
      <c r="J9">
        <v>108</v>
      </c>
      <c r="K9">
        <v>126</v>
      </c>
      <c r="L9">
        <v>140</v>
      </c>
      <c r="M9">
        <v>126</v>
      </c>
      <c r="N9">
        <v>140</v>
      </c>
    </row>
    <row r="10" spans="1:18">
      <c r="A10">
        <v>18</v>
      </c>
      <c r="B10" s="68">
        <v>43427</v>
      </c>
      <c r="C10" t="s">
        <v>243</v>
      </c>
      <c r="D10" t="s">
        <v>250</v>
      </c>
      <c r="E10">
        <v>29</v>
      </c>
      <c r="F10">
        <v>23</v>
      </c>
      <c r="G10">
        <v>54</v>
      </c>
      <c r="H10">
        <v>45</v>
      </c>
      <c r="I10">
        <v>82</v>
      </c>
      <c r="J10">
        <v>69</v>
      </c>
      <c r="K10">
        <v>111</v>
      </c>
      <c r="L10">
        <v>100</v>
      </c>
      <c r="M10">
        <v>111</v>
      </c>
      <c r="N10">
        <v>100</v>
      </c>
    </row>
    <row r="11" spans="1:18">
      <c r="A11">
        <v>19</v>
      </c>
      <c r="B11" s="68">
        <v>43428</v>
      </c>
      <c r="C11" t="s">
        <v>243</v>
      </c>
      <c r="D11" t="s">
        <v>245</v>
      </c>
      <c r="E11">
        <v>36</v>
      </c>
      <c r="F11">
        <v>37</v>
      </c>
      <c r="G11">
        <v>68</v>
      </c>
      <c r="H11">
        <v>67</v>
      </c>
      <c r="I11">
        <v>102</v>
      </c>
      <c r="J11">
        <v>95</v>
      </c>
      <c r="K11">
        <v>129</v>
      </c>
      <c r="L11">
        <v>135</v>
      </c>
      <c r="M11">
        <v>129</v>
      </c>
      <c r="N11">
        <v>135</v>
      </c>
    </row>
    <row r="12" spans="1:18">
      <c r="A12">
        <v>20</v>
      </c>
      <c r="B12" s="68">
        <v>43430</v>
      </c>
      <c r="C12" t="s">
        <v>243</v>
      </c>
      <c r="D12" t="s">
        <v>267</v>
      </c>
      <c r="E12">
        <v>27</v>
      </c>
      <c r="F12">
        <v>27</v>
      </c>
      <c r="G12">
        <v>52</v>
      </c>
      <c r="H12">
        <v>50</v>
      </c>
      <c r="I12">
        <v>80</v>
      </c>
      <c r="J12">
        <v>83</v>
      </c>
      <c r="K12">
        <v>108</v>
      </c>
      <c r="L12">
        <v>107</v>
      </c>
      <c r="M12">
        <v>108</v>
      </c>
      <c r="N12">
        <v>107</v>
      </c>
    </row>
    <row r="13" spans="1:18">
      <c r="A13">
        <v>21</v>
      </c>
      <c r="B13" s="68">
        <v>43432</v>
      </c>
      <c r="C13" t="s">
        <v>243</v>
      </c>
      <c r="D13" t="s">
        <v>259</v>
      </c>
      <c r="E13">
        <v>25</v>
      </c>
      <c r="F13">
        <v>28</v>
      </c>
      <c r="G13">
        <v>34</v>
      </c>
      <c r="H13">
        <v>57</v>
      </c>
      <c r="I13">
        <v>58</v>
      </c>
      <c r="J13">
        <v>92</v>
      </c>
      <c r="K13">
        <v>89</v>
      </c>
      <c r="L13">
        <v>128</v>
      </c>
      <c r="M13">
        <v>89</v>
      </c>
      <c r="N13">
        <v>128</v>
      </c>
    </row>
    <row r="14" spans="1:18">
      <c r="A14">
        <v>24</v>
      </c>
      <c r="B14" s="68">
        <v>43438</v>
      </c>
      <c r="C14" t="s">
        <v>243</v>
      </c>
      <c r="D14" t="s">
        <v>261</v>
      </c>
      <c r="E14">
        <v>20</v>
      </c>
      <c r="F14">
        <v>34</v>
      </c>
      <c r="G14">
        <v>47</v>
      </c>
      <c r="H14">
        <v>63</v>
      </c>
      <c r="I14">
        <v>78</v>
      </c>
      <c r="J14">
        <v>104</v>
      </c>
      <c r="K14">
        <v>105</v>
      </c>
      <c r="L14">
        <v>139</v>
      </c>
      <c r="M14">
        <v>105</v>
      </c>
      <c r="N14">
        <v>139</v>
      </c>
    </row>
    <row r="15" spans="1:18">
      <c r="A15">
        <v>25</v>
      </c>
      <c r="B15" s="68">
        <v>43439</v>
      </c>
      <c r="C15" t="s">
        <v>243</v>
      </c>
      <c r="D15" t="s">
        <v>269</v>
      </c>
      <c r="E15">
        <v>23</v>
      </c>
      <c r="F15">
        <v>31</v>
      </c>
      <c r="G15">
        <v>45</v>
      </c>
      <c r="H15">
        <v>50</v>
      </c>
      <c r="I15">
        <v>82</v>
      </c>
      <c r="J15">
        <v>78</v>
      </c>
      <c r="K15">
        <v>113</v>
      </c>
      <c r="L15">
        <v>121</v>
      </c>
      <c r="M15">
        <v>113</v>
      </c>
      <c r="N15">
        <v>121</v>
      </c>
    </row>
    <row r="16" spans="1:18">
      <c r="A16">
        <v>32</v>
      </c>
      <c r="B16" s="68">
        <v>43453</v>
      </c>
      <c r="C16" t="s">
        <v>243</v>
      </c>
      <c r="D16" t="s">
        <v>252</v>
      </c>
      <c r="E16">
        <v>31</v>
      </c>
      <c r="F16">
        <v>24</v>
      </c>
      <c r="G16">
        <v>66</v>
      </c>
      <c r="H16">
        <v>44</v>
      </c>
      <c r="I16">
        <v>104</v>
      </c>
      <c r="J16">
        <v>77</v>
      </c>
      <c r="K16">
        <v>129</v>
      </c>
      <c r="L16">
        <v>90</v>
      </c>
      <c r="M16">
        <v>129</v>
      </c>
      <c r="N16">
        <v>90</v>
      </c>
    </row>
    <row r="17" spans="1:16">
      <c r="A17">
        <v>34</v>
      </c>
      <c r="B17" s="68">
        <v>43456</v>
      </c>
      <c r="C17" t="s">
        <v>243</v>
      </c>
      <c r="D17" t="s">
        <v>258</v>
      </c>
      <c r="E17">
        <v>26</v>
      </c>
      <c r="F17">
        <v>28</v>
      </c>
      <c r="G17">
        <v>43</v>
      </c>
      <c r="H17">
        <v>41</v>
      </c>
      <c r="I17">
        <v>69</v>
      </c>
      <c r="J17">
        <v>84</v>
      </c>
      <c r="K17">
        <v>101</v>
      </c>
      <c r="L17">
        <v>108</v>
      </c>
      <c r="M17">
        <v>101</v>
      </c>
      <c r="N17">
        <v>108</v>
      </c>
    </row>
    <row r="18" spans="1:16">
      <c r="A18">
        <v>36</v>
      </c>
      <c r="B18" s="68">
        <v>43462</v>
      </c>
      <c r="C18" t="s">
        <v>243</v>
      </c>
      <c r="D18" t="s">
        <v>263</v>
      </c>
      <c r="E18">
        <v>23</v>
      </c>
      <c r="F18">
        <v>31</v>
      </c>
      <c r="G18">
        <v>47</v>
      </c>
      <c r="H18">
        <v>61</v>
      </c>
      <c r="I18">
        <v>75</v>
      </c>
      <c r="J18">
        <v>78</v>
      </c>
      <c r="K18">
        <v>99</v>
      </c>
      <c r="L18">
        <v>102</v>
      </c>
      <c r="M18">
        <v>99</v>
      </c>
      <c r="N18">
        <v>102</v>
      </c>
    </row>
    <row r="19" spans="1:16">
      <c r="A19">
        <v>37</v>
      </c>
      <c r="B19" s="68">
        <v>43463</v>
      </c>
      <c r="C19" t="s">
        <v>243</v>
      </c>
      <c r="D19" t="s">
        <v>264</v>
      </c>
      <c r="E19">
        <v>32</v>
      </c>
      <c r="F19">
        <v>30</v>
      </c>
      <c r="G19">
        <v>56</v>
      </c>
      <c r="H19">
        <v>56</v>
      </c>
      <c r="I19">
        <v>95</v>
      </c>
      <c r="J19">
        <v>75</v>
      </c>
      <c r="K19">
        <v>122</v>
      </c>
      <c r="L19">
        <v>111</v>
      </c>
      <c r="M19">
        <v>122</v>
      </c>
      <c r="N19">
        <v>111</v>
      </c>
    </row>
    <row r="20" spans="1:16">
      <c r="A20">
        <v>1</v>
      </c>
      <c r="B20" s="68">
        <v>43390</v>
      </c>
      <c r="C20" t="s">
        <v>244</v>
      </c>
      <c r="D20" t="s">
        <v>259</v>
      </c>
      <c r="E20">
        <v>31</v>
      </c>
      <c r="F20">
        <v>23</v>
      </c>
      <c r="G20">
        <v>56</v>
      </c>
      <c r="H20">
        <v>52</v>
      </c>
      <c r="I20">
        <v>81</v>
      </c>
      <c r="J20">
        <v>83</v>
      </c>
      <c r="K20">
        <v>112</v>
      </c>
      <c r="L20">
        <v>108</v>
      </c>
      <c r="M20">
        <v>112</v>
      </c>
      <c r="N20">
        <v>108</v>
      </c>
    </row>
    <row r="21" spans="1:16">
      <c r="A21">
        <v>4</v>
      </c>
      <c r="B21" s="68">
        <v>43397</v>
      </c>
      <c r="C21" t="s">
        <v>244</v>
      </c>
      <c r="D21" t="s">
        <v>250</v>
      </c>
      <c r="E21">
        <v>22</v>
      </c>
      <c r="F21">
        <v>28</v>
      </c>
      <c r="G21">
        <v>50</v>
      </c>
      <c r="H21">
        <v>62</v>
      </c>
      <c r="I21">
        <v>71</v>
      </c>
      <c r="J21">
        <v>88</v>
      </c>
      <c r="K21">
        <v>96</v>
      </c>
      <c r="L21">
        <v>116</v>
      </c>
      <c r="M21">
        <v>96</v>
      </c>
      <c r="N21">
        <v>116</v>
      </c>
    </row>
    <row r="22" spans="1:16">
      <c r="A22">
        <v>5</v>
      </c>
      <c r="B22" s="68">
        <v>43400</v>
      </c>
      <c r="C22" t="s">
        <v>244</v>
      </c>
      <c r="D22" t="s">
        <v>269</v>
      </c>
      <c r="E22">
        <v>29</v>
      </c>
      <c r="F22">
        <v>36</v>
      </c>
      <c r="G22">
        <v>54</v>
      </c>
      <c r="H22">
        <v>60</v>
      </c>
      <c r="I22">
        <v>87</v>
      </c>
      <c r="J22">
        <v>88</v>
      </c>
      <c r="K22">
        <v>110</v>
      </c>
      <c r="L22">
        <v>106</v>
      </c>
      <c r="M22">
        <v>110</v>
      </c>
      <c r="N22">
        <v>106</v>
      </c>
    </row>
    <row r="23" spans="1:16">
      <c r="A23">
        <v>6</v>
      </c>
      <c r="B23" s="68">
        <v>43402</v>
      </c>
      <c r="C23" t="s">
        <v>244</v>
      </c>
      <c r="D23" t="s">
        <v>265</v>
      </c>
      <c r="E23">
        <v>20</v>
      </c>
      <c r="F23">
        <v>18</v>
      </c>
      <c r="G23">
        <v>53</v>
      </c>
      <c r="H23">
        <v>45</v>
      </c>
      <c r="I23">
        <v>76</v>
      </c>
      <c r="J23">
        <v>74</v>
      </c>
      <c r="K23">
        <v>102</v>
      </c>
      <c r="L23">
        <v>102</v>
      </c>
      <c r="M23">
        <v>113</v>
      </c>
      <c r="N23">
        <v>108</v>
      </c>
      <c r="O23">
        <v>113</v>
      </c>
      <c r="P23">
        <v>108</v>
      </c>
    </row>
    <row r="24" spans="1:16">
      <c r="A24">
        <v>8</v>
      </c>
      <c r="B24" s="68">
        <v>43407</v>
      </c>
      <c r="C24" t="s">
        <v>244</v>
      </c>
      <c r="D24" t="s">
        <v>257</v>
      </c>
      <c r="E24">
        <v>24</v>
      </c>
      <c r="F24">
        <v>17</v>
      </c>
      <c r="G24">
        <v>58</v>
      </c>
      <c r="H24">
        <v>39</v>
      </c>
      <c r="I24">
        <v>87</v>
      </c>
      <c r="J24">
        <v>68</v>
      </c>
      <c r="K24">
        <v>109</v>
      </c>
      <c r="L24">
        <v>95</v>
      </c>
      <c r="M24">
        <v>109</v>
      </c>
      <c r="N24">
        <v>95</v>
      </c>
    </row>
    <row r="25" spans="1:16">
      <c r="A25">
        <v>9</v>
      </c>
      <c r="B25" s="68">
        <v>43408</v>
      </c>
      <c r="C25" t="s">
        <v>244</v>
      </c>
      <c r="D25" t="s">
        <v>252</v>
      </c>
      <c r="E25">
        <v>26</v>
      </c>
      <c r="F25">
        <v>36</v>
      </c>
      <c r="G25">
        <v>54</v>
      </c>
      <c r="H25">
        <v>63</v>
      </c>
      <c r="I25">
        <v>74</v>
      </c>
      <c r="J25">
        <v>91</v>
      </c>
      <c r="K25">
        <v>110</v>
      </c>
      <c r="L25">
        <v>117</v>
      </c>
      <c r="M25">
        <v>110</v>
      </c>
      <c r="N25">
        <v>117</v>
      </c>
    </row>
    <row r="26" spans="1:16">
      <c r="A26">
        <v>11</v>
      </c>
      <c r="B26" s="68">
        <v>43414</v>
      </c>
      <c r="C26" t="s">
        <v>244</v>
      </c>
      <c r="D26" t="s">
        <v>258</v>
      </c>
      <c r="E26">
        <v>20</v>
      </c>
      <c r="F26">
        <v>21</v>
      </c>
      <c r="G26">
        <v>52</v>
      </c>
      <c r="H26">
        <v>50</v>
      </c>
      <c r="I26">
        <v>72</v>
      </c>
      <c r="J26">
        <v>71</v>
      </c>
      <c r="K26">
        <v>96</v>
      </c>
      <c r="L26">
        <v>89</v>
      </c>
      <c r="M26">
        <v>96</v>
      </c>
      <c r="N26">
        <v>89</v>
      </c>
    </row>
    <row r="27" spans="1:16">
      <c r="A27">
        <v>15</v>
      </c>
      <c r="B27" s="68">
        <v>43422</v>
      </c>
      <c r="C27" t="s">
        <v>244</v>
      </c>
      <c r="D27" t="s">
        <v>242</v>
      </c>
      <c r="E27">
        <v>33</v>
      </c>
      <c r="F27">
        <v>27</v>
      </c>
      <c r="G27">
        <v>56</v>
      </c>
      <c r="H27">
        <v>48</v>
      </c>
      <c r="I27">
        <v>79</v>
      </c>
      <c r="J27">
        <v>70</v>
      </c>
      <c r="K27">
        <v>104</v>
      </c>
      <c r="L27">
        <v>92</v>
      </c>
      <c r="M27">
        <v>104</v>
      </c>
      <c r="N27">
        <v>92</v>
      </c>
    </row>
    <row r="28" spans="1:16">
      <c r="A28">
        <v>17</v>
      </c>
      <c r="B28" s="68">
        <v>43425</v>
      </c>
      <c r="C28" t="s">
        <v>244</v>
      </c>
      <c r="D28" t="s">
        <v>249</v>
      </c>
      <c r="E28">
        <v>32</v>
      </c>
      <c r="F28">
        <v>30</v>
      </c>
      <c r="G28">
        <v>59</v>
      </c>
      <c r="H28">
        <v>61</v>
      </c>
      <c r="I28">
        <v>77</v>
      </c>
      <c r="J28">
        <v>81</v>
      </c>
      <c r="K28">
        <v>103</v>
      </c>
      <c r="L28">
        <v>104</v>
      </c>
      <c r="M28">
        <v>103</v>
      </c>
      <c r="N28">
        <v>104</v>
      </c>
    </row>
    <row r="29" spans="1:16">
      <c r="A29">
        <v>22</v>
      </c>
      <c r="B29" s="68">
        <v>43434</v>
      </c>
      <c r="C29" t="s">
        <v>244</v>
      </c>
      <c r="D29" t="s">
        <v>258</v>
      </c>
      <c r="E29">
        <v>23</v>
      </c>
      <c r="F29">
        <v>39</v>
      </c>
      <c r="G29">
        <v>47</v>
      </c>
      <c r="H29">
        <v>70</v>
      </c>
      <c r="I29">
        <v>74</v>
      </c>
      <c r="J29">
        <v>110</v>
      </c>
      <c r="K29">
        <v>105</v>
      </c>
      <c r="L29">
        <v>136</v>
      </c>
      <c r="M29">
        <v>105</v>
      </c>
      <c r="N29">
        <v>136</v>
      </c>
    </row>
    <row r="30" spans="1:16">
      <c r="A30">
        <v>23</v>
      </c>
      <c r="B30" s="68">
        <v>43436</v>
      </c>
      <c r="C30" t="s">
        <v>244</v>
      </c>
      <c r="D30" t="s">
        <v>270</v>
      </c>
      <c r="E30">
        <v>32</v>
      </c>
      <c r="F30">
        <v>33</v>
      </c>
      <c r="G30">
        <v>62</v>
      </c>
      <c r="H30">
        <v>55</v>
      </c>
      <c r="I30">
        <v>97</v>
      </c>
      <c r="J30">
        <v>90</v>
      </c>
      <c r="K30">
        <v>131</v>
      </c>
      <c r="L30">
        <v>118</v>
      </c>
      <c r="M30">
        <v>131</v>
      </c>
      <c r="N30">
        <v>118</v>
      </c>
    </row>
    <row r="31" spans="1:16">
      <c r="A31">
        <v>26</v>
      </c>
      <c r="B31" s="68">
        <v>43441</v>
      </c>
      <c r="C31" t="s">
        <v>244</v>
      </c>
      <c r="D31" t="s">
        <v>269</v>
      </c>
      <c r="E31">
        <v>32</v>
      </c>
      <c r="F31">
        <v>36</v>
      </c>
      <c r="G31">
        <v>68</v>
      </c>
      <c r="H31">
        <v>72</v>
      </c>
      <c r="I31">
        <v>89</v>
      </c>
      <c r="J31">
        <v>99</v>
      </c>
      <c r="K31">
        <v>133</v>
      </c>
      <c r="L31">
        <v>120</v>
      </c>
      <c r="M31">
        <v>133</v>
      </c>
      <c r="N31">
        <v>120</v>
      </c>
    </row>
    <row r="32" spans="1:16">
      <c r="A32">
        <v>27</v>
      </c>
      <c r="B32" s="68">
        <v>43443</v>
      </c>
      <c r="C32" t="s">
        <v>244</v>
      </c>
      <c r="D32" t="s">
        <v>261</v>
      </c>
      <c r="E32">
        <v>23</v>
      </c>
      <c r="F32">
        <v>18</v>
      </c>
      <c r="G32">
        <v>54</v>
      </c>
      <c r="H32">
        <v>36</v>
      </c>
      <c r="I32">
        <v>82</v>
      </c>
      <c r="J32">
        <v>72</v>
      </c>
      <c r="K32">
        <v>110</v>
      </c>
      <c r="L32">
        <v>97</v>
      </c>
      <c r="M32">
        <v>110</v>
      </c>
      <c r="N32">
        <v>97</v>
      </c>
    </row>
    <row r="33" spans="1:14">
      <c r="A33">
        <v>28</v>
      </c>
      <c r="B33" s="68">
        <v>43445</v>
      </c>
      <c r="C33" t="s">
        <v>244</v>
      </c>
      <c r="D33" t="s">
        <v>266</v>
      </c>
      <c r="E33">
        <v>29</v>
      </c>
      <c r="F33">
        <v>20</v>
      </c>
      <c r="G33">
        <v>59</v>
      </c>
      <c r="H33">
        <v>46</v>
      </c>
      <c r="I33">
        <v>88</v>
      </c>
      <c r="J33">
        <v>64</v>
      </c>
      <c r="K33">
        <v>111</v>
      </c>
      <c r="L33">
        <v>86</v>
      </c>
      <c r="M33">
        <v>111</v>
      </c>
      <c r="N33">
        <v>86</v>
      </c>
    </row>
    <row r="34" spans="1:14">
      <c r="A34">
        <v>29</v>
      </c>
      <c r="B34" s="68">
        <v>43447</v>
      </c>
      <c r="C34" t="s">
        <v>244</v>
      </c>
      <c r="D34" t="s">
        <v>264</v>
      </c>
      <c r="E34">
        <v>38</v>
      </c>
      <c r="F34">
        <v>27</v>
      </c>
      <c r="G34">
        <v>66</v>
      </c>
      <c r="H34">
        <v>57</v>
      </c>
      <c r="I34">
        <v>98</v>
      </c>
      <c r="J34">
        <v>77</v>
      </c>
      <c r="K34">
        <v>125</v>
      </c>
      <c r="L34">
        <v>87</v>
      </c>
      <c r="M34">
        <v>125</v>
      </c>
      <c r="N34">
        <v>87</v>
      </c>
    </row>
    <row r="35" spans="1:14">
      <c r="A35">
        <v>30</v>
      </c>
      <c r="B35" s="68">
        <v>43449</v>
      </c>
      <c r="C35" t="s">
        <v>244</v>
      </c>
      <c r="D35" t="s">
        <v>267</v>
      </c>
      <c r="E35">
        <v>28</v>
      </c>
      <c r="F35">
        <v>21</v>
      </c>
      <c r="G35">
        <v>62</v>
      </c>
      <c r="H35">
        <v>43</v>
      </c>
      <c r="I35">
        <v>78</v>
      </c>
      <c r="J35">
        <v>74</v>
      </c>
      <c r="K35">
        <v>93</v>
      </c>
      <c r="L35">
        <v>98</v>
      </c>
      <c r="M35">
        <v>93</v>
      </c>
      <c r="N35">
        <v>98</v>
      </c>
    </row>
    <row r="36" spans="1:14">
      <c r="A36">
        <v>31</v>
      </c>
      <c r="B36" s="68">
        <v>43451</v>
      </c>
      <c r="C36" t="s">
        <v>244</v>
      </c>
      <c r="D36" t="s">
        <v>239</v>
      </c>
      <c r="E36">
        <v>29</v>
      </c>
      <c r="F36">
        <v>32</v>
      </c>
      <c r="G36">
        <v>60</v>
      </c>
      <c r="H36">
        <v>49</v>
      </c>
      <c r="I36">
        <v>93</v>
      </c>
      <c r="J36">
        <v>71</v>
      </c>
      <c r="K36">
        <v>123</v>
      </c>
      <c r="L36">
        <v>96</v>
      </c>
      <c r="M36">
        <v>123</v>
      </c>
      <c r="N36">
        <v>96</v>
      </c>
    </row>
    <row r="37" spans="1:14">
      <c r="A37">
        <v>33</v>
      </c>
      <c r="B37" s="68">
        <v>43455</v>
      </c>
      <c r="C37" t="s">
        <v>244</v>
      </c>
      <c r="D37" t="s">
        <v>259</v>
      </c>
      <c r="E37">
        <v>29</v>
      </c>
      <c r="F37">
        <v>21</v>
      </c>
      <c r="G37">
        <v>62</v>
      </c>
      <c r="H37">
        <v>44</v>
      </c>
      <c r="I37">
        <v>87</v>
      </c>
      <c r="J37">
        <v>71</v>
      </c>
      <c r="K37">
        <v>124</v>
      </c>
      <c r="L37">
        <v>98</v>
      </c>
      <c r="M37">
        <v>124</v>
      </c>
      <c r="N37">
        <v>98</v>
      </c>
    </row>
    <row r="38" spans="1:14">
      <c r="A38">
        <v>35</v>
      </c>
      <c r="B38" s="68">
        <v>43460</v>
      </c>
      <c r="C38" t="s">
        <v>244</v>
      </c>
      <c r="D38" t="s">
        <v>263</v>
      </c>
      <c r="E38">
        <v>34</v>
      </c>
      <c r="F38">
        <v>26</v>
      </c>
      <c r="G38">
        <v>55</v>
      </c>
      <c r="H38">
        <v>53</v>
      </c>
      <c r="I38">
        <v>77</v>
      </c>
      <c r="J38">
        <v>75</v>
      </c>
      <c r="K38">
        <v>111</v>
      </c>
      <c r="L38">
        <v>103</v>
      </c>
      <c r="M38">
        <v>111</v>
      </c>
      <c r="N38">
        <v>103</v>
      </c>
    </row>
    <row r="39" spans="1:14">
      <c r="A39">
        <v>38</v>
      </c>
      <c r="B39" s="68">
        <v>43465</v>
      </c>
      <c r="C39" t="s">
        <v>244</v>
      </c>
      <c r="D39" t="s">
        <v>240</v>
      </c>
      <c r="E39">
        <v>17</v>
      </c>
      <c r="F39">
        <v>23</v>
      </c>
      <c r="G39">
        <v>46</v>
      </c>
      <c r="H39">
        <v>52</v>
      </c>
      <c r="I39">
        <v>92</v>
      </c>
      <c r="J39">
        <v>82</v>
      </c>
      <c r="K39">
        <v>120</v>
      </c>
      <c r="L39">
        <v>111</v>
      </c>
      <c r="M39">
        <v>120</v>
      </c>
      <c r="N39">
        <v>111</v>
      </c>
    </row>
    <row r="40" spans="1:14">
      <c r="A40">
        <v>39</v>
      </c>
      <c r="B40" s="68">
        <v>43468</v>
      </c>
      <c r="C40" t="s">
        <v>244</v>
      </c>
      <c r="D40" t="s">
        <v>256</v>
      </c>
      <c r="E40">
        <v>38</v>
      </c>
      <c r="F40">
        <v>19</v>
      </c>
      <c r="G40">
        <v>67</v>
      </c>
      <c r="H40">
        <v>51</v>
      </c>
      <c r="I40">
        <v>96</v>
      </c>
      <c r="J40">
        <v>75</v>
      </c>
      <c r="K40">
        <v>125</v>
      </c>
      <c r="L40">
        <v>107</v>
      </c>
      <c r="M40">
        <v>125</v>
      </c>
      <c r="N40">
        <v>107</v>
      </c>
    </row>
  </sheetData>
  <sortState xmlns:xlrd2="http://schemas.microsoft.com/office/spreadsheetml/2017/richdata2" ref="A2:Z66">
    <sortCondition ref="C1"/>
  </sortState>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AA38"/>
  <sheetViews>
    <sheetView topLeftCell="S1" workbookViewId="0">
      <selection activeCell="V3" sqref="V3"/>
    </sheetView>
  </sheetViews>
  <sheetFormatPr defaultRowHeight="14.5"/>
  <cols>
    <col min="1" max="1" width="2.6328125" bestFit="1" customWidth="1"/>
    <col min="2" max="2" width="13.54296875"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6328125" customWidth="1"/>
    <col min="20" max="20" width="19.54296875" customWidth="1"/>
    <col min="21" max="21" width="23.26953125" customWidth="1"/>
    <col min="22" max="22" width="23" customWidth="1"/>
    <col min="23" max="23" width="22.7265625" customWidth="1"/>
    <col min="24" max="24" width="20" customWidth="1"/>
    <col min="25" max="25" width="23.1796875" customWidth="1"/>
    <col min="26" max="26" width="21.81640625" customWidth="1"/>
    <col min="27" max="27" width="25.81640625" customWidth="1"/>
  </cols>
  <sheetData>
    <row r="1" spans="1:27">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c r="S1" t="s">
        <v>273</v>
      </c>
      <c r="T1" t="s">
        <v>274</v>
      </c>
      <c r="U1" t="s">
        <v>276</v>
      </c>
      <c r="V1" t="s">
        <v>274</v>
      </c>
      <c r="W1" t="s">
        <v>276</v>
      </c>
      <c r="X1" t="s">
        <v>278</v>
      </c>
      <c r="Y1" t="s">
        <v>279</v>
      </c>
      <c r="Z1" t="s">
        <v>289</v>
      </c>
      <c r="AA1" t="s">
        <v>290</v>
      </c>
    </row>
    <row r="2" spans="1:27">
      <c r="A2">
        <v>3</v>
      </c>
      <c r="B2" s="68">
        <v>43393</v>
      </c>
      <c r="C2" t="s">
        <v>243</v>
      </c>
      <c r="D2" t="s">
        <v>239</v>
      </c>
      <c r="E2">
        <v>32</v>
      </c>
      <c r="F2">
        <v>30</v>
      </c>
      <c r="G2">
        <v>52</v>
      </c>
      <c r="H2">
        <v>63</v>
      </c>
      <c r="I2">
        <v>86</v>
      </c>
      <c r="J2">
        <v>89</v>
      </c>
      <c r="K2">
        <v>115</v>
      </c>
      <c r="L2">
        <v>116</v>
      </c>
      <c r="M2">
        <v>115</v>
      </c>
      <c r="N2">
        <v>116</v>
      </c>
      <c r="Q2">
        <f>M2-G2</f>
        <v>63</v>
      </c>
      <c r="R2">
        <f>N2-H2</f>
        <v>53</v>
      </c>
      <c r="S2">
        <f>G2-H2</f>
        <v>-11</v>
      </c>
      <c r="T2" t="s">
        <v>275</v>
      </c>
      <c r="U2" t="s">
        <v>275</v>
      </c>
      <c r="V2" t="s">
        <v>277</v>
      </c>
      <c r="W2" t="s">
        <v>277</v>
      </c>
      <c r="X2">
        <f>AVERAGE(M2:M17)</f>
        <v>101.8125</v>
      </c>
      <c r="Y2">
        <f>AVERAGE(N2:N17)</f>
        <v>103.5625</v>
      </c>
      <c r="Z2">
        <f>AVERAGE(G2:G17)</f>
        <v>52.75</v>
      </c>
      <c r="AA2">
        <f>AVERAGE(H2:H17)</f>
        <v>52.125</v>
      </c>
    </row>
    <row r="3" spans="1:27">
      <c r="A3">
        <v>4</v>
      </c>
      <c r="B3" s="68">
        <v>43395</v>
      </c>
      <c r="C3" t="s">
        <v>243</v>
      </c>
      <c r="D3" t="s">
        <v>240</v>
      </c>
      <c r="E3">
        <v>28</v>
      </c>
      <c r="F3">
        <v>19</v>
      </c>
      <c r="G3">
        <v>48</v>
      </c>
      <c r="H3">
        <v>45</v>
      </c>
      <c r="I3">
        <v>75</v>
      </c>
      <c r="J3">
        <v>70</v>
      </c>
      <c r="K3">
        <v>93</v>
      </c>
      <c r="L3">
        <v>90</v>
      </c>
      <c r="M3">
        <v>93</v>
      </c>
      <c r="N3">
        <v>90</v>
      </c>
      <c r="Q3">
        <f t="shared" ref="Q3:Q17" si="0">M3-G3</f>
        <v>45</v>
      </c>
      <c r="R3">
        <f t="shared" ref="R3:R17" si="1">N3-H3</f>
        <v>45</v>
      </c>
      <c r="S3">
        <f t="shared" ref="S3:S17" si="2">G3-H3</f>
        <v>3</v>
      </c>
      <c r="T3">
        <f>AVERAGEIF(S2:S17,"&gt;0",Q2:Q17)</f>
        <v>48.857142857142854</v>
      </c>
      <c r="U3">
        <f>AVERAGEIF(S2:S17,"&gt;0",R2:R17)</f>
        <v>50.714285714285715</v>
      </c>
      <c r="V3">
        <f>AVERAGEIF(S2:S17,"&lt;0",Q2:Q17)</f>
        <v>48.625</v>
      </c>
      <c r="W3">
        <f>AVERAGEIF(S2:S17,"&lt;0",R2:R17)</f>
        <v>50.75</v>
      </c>
    </row>
    <row r="4" spans="1:27">
      <c r="A4">
        <v>6</v>
      </c>
      <c r="B4" s="68">
        <v>43400</v>
      </c>
      <c r="C4" t="s">
        <v>243</v>
      </c>
      <c r="D4" t="s">
        <v>245</v>
      </c>
      <c r="E4">
        <v>25</v>
      </c>
      <c r="F4">
        <v>30</v>
      </c>
      <c r="G4">
        <v>51</v>
      </c>
      <c r="H4">
        <v>65</v>
      </c>
      <c r="I4">
        <v>68</v>
      </c>
      <c r="J4">
        <v>93</v>
      </c>
      <c r="K4">
        <v>91</v>
      </c>
      <c r="L4">
        <v>113</v>
      </c>
      <c r="M4">
        <v>91</v>
      </c>
      <c r="N4">
        <v>113</v>
      </c>
      <c r="Q4">
        <f t="shared" si="0"/>
        <v>40</v>
      </c>
      <c r="R4">
        <f t="shared" si="1"/>
        <v>48</v>
      </c>
      <c r="S4">
        <f t="shared" si="2"/>
        <v>-14</v>
      </c>
    </row>
    <row r="5" spans="1:27">
      <c r="A5">
        <v>9</v>
      </c>
      <c r="B5" s="68">
        <v>43408</v>
      </c>
      <c r="C5" t="s">
        <v>243</v>
      </c>
      <c r="D5" t="s">
        <v>260</v>
      </c>
      <c r="E5">
        <v>36</v>
      </c>
      <c r="F5">
        <v>26</v>
      </c>
      <c r="G5">
        <v>63</v>
      </c>
      <c r="H5">
        <v>54</v>
      </c>
      <c r="I5">
        <v>91</v>
      </c>
      <c r="J5">
        <v>74</v>
      </c>
      <c r="K5">
        <v>117</v>
      </c>
      <c r="L5">
        <v>110</v>
      </c>
      <c r="M5">
        <v>117</v>
      </c>
      <c r="N5">
        <v>110</v>
      </c>
      <c r="Q5">
        <f t="shared" si="0"/>
        <v>54</v>
      </c>
      <c r="R5">
        <f t="shared" si="1"/>
        <v>56</v>
      </c>
      <c r="S5">
        <f t="shared" si="2"/>
        <v>9</v>
      </c>
    </row>
    <row r="6" spans="1:27">
      <c r="A6">
        <v>13</v>
      </c>
      <c r="B6" s="68">
        <v>43415</v>
      </c>
      <c r="C6" t="s">
        <v>243</v>
      </c>
      <c r="D6" t="s">
        <v>254</v>
      </c>
      <c r="E6">
        <v>30</v>
      </c>
      <c r="F6">
        <v>10</v>
      </c>
      <c r="G6">
        <v>65</v>
      </c>
      <c r="H6">
        <v>40</v>
      </c>
      <c r="I6">
        <v>87</v>
      </c>
      <c r="J6">
        <v>60</v>
      </c>
      <c r="K6">
        <v>115</v>
      </c>
      <c r="L6">
        <v>89</v>
      </c>
      <c r="M6">
        <v>115</v>
      </c>
      <c r="N6">
        <v>89</v>
      </c>
      <c r="Q6">
        <f t="shared" si="0"/>
        <v>50</v>
      </c>
      <c r="R6">
        <f t="shared" si="1"/>
        <v>49</v>
      </c>
      <c r="S6">
        <f t="shared" si="2"/>
        <v>25</v>
      </c>
    </row>
    <row r="7" spans="1:27">
      <c r="A7">
        <v>14</v>
      </c>
      <c r="B7" s="68">
        <v>43416</v>
      </c>
      <c r="C7" t="s">
        <v>243</v>
      </c>
      <c r="D7" t="s">
        <v>268</v>
      </c>
      <c r="E7">
        <v>30</v>
      </c>
      <c r="F7">
        <v>30</v>
      </c>
      <c r="G7">
        <v>55</v>
      </c>
      <c r="H7">
        <v>55</v>
      </c>
      <c r="I7">
        <v>83</v>
      </c>
      <c r="J7">
        <v>83</v>
      </c>
      <c r="K7">
        <v>109</v>
      </c>
      <c r="L7">
        <v>117</v>
      </c>
      <c r="M7">
        <v>109</v>
      </c>
      <c r="N7">
        <v>117</v>
      </c>
      <c r="Q7">
        <f t="shared" si="0"/>
        <v>54</v>
      </c>
      <c r="R7">
        <f t="shared" si="1"/>
        <v>62</v>
      </c>
      <c r="S7">
        <f t="shared" si="2"/>
        <v>0</v>
      </c>
    </row>
    <row r="8" spans="1:27">
      <c r="A8">
        <v>19</v>
      </c>
      <c r="B8" s="68">
        <v>43427</v>
      </c>
      <c r="C8" t="s">
        <v>243</v>
      </c>
      <c r="D8" t="s">
        <v>263</v>
      </c>
      <c r="E8">
        <v>19</v>
      </c>
      <c r="F8">
        <v>21</v>
      </c>
      <c r="G8">
        <v>41</v>
      </c>
      <c r="H8">
        <v>54</v>
      </c>
      <c r="I8">
        <v>68</v>
      </c>
      <c r="J8">
        <v>80</v>
      </c>
      <c r="K8">
        <v>87</v>
      </c>
      <c r="L8">
        <v>112</v>
      </c>
      <c r="M8">
        <v>87</v>
      </c>
      <c r="N8">
        <v>112</v>
      </c>
      <c r="Q8">
        <f t="shared" si="0"/>
        <v>46</v>
      </c>
      <c r="R8">
        <f t="shared" si="1"/>
        <v>58</v>
      </c>
      <c r="S8">
        <f t="shared" si="2"/>
        <v>-13</v>
      </c>
    </row>
    <row r="9" spans="1:27">
      <c r="A9">
        <v>20</v>
      </c>
      <c r="B9" s="68">
        <v>43429</v>
      </c>
      <c r="C9" t="s">
        <v>243</v>
      </c>
      <c r="D9" t="s">
        <v>269</v>
      </c>
      <c r="E9">
        <v>19</v>
      </c>
      <c r="F9">
        <v>29</v>
      </c>
      <c r="G9">
        <v>51</v>
      </c>
      <c r="H9">
        <v>52</v>
      </c>
      <c r="I9">
        <v>86</v>
      </c>
      <c r="J9">
        <v>71</v>
      </c>
      <c r="K9">
        <v>108</v>
      </c>
      <c r="L9">
        <v>104</v>
      </c>
      <c r="M9">
        <v>108</v>
      </c>
      <c r="N9">
        <v>104</v>
      </c>
      <c r="Q9">
        <f t="shared" si="0"/>
        <v>57</v>
      </c>
      <c r="R9">
        <f t="shared" si="1"/>
        <v>52</v>
      </c>
      <c r="S9">
        <f t="shared" si="2"/>
        <v>-1</v>
      </c>
    </row>
    <row r="10" spans="1:27">
      <c r="A10">
        <v>21</v>
      </c>
      <c r="B10" s="68">
        <v>43430</v>
      </c>
      <c r="C10" t="s">
        <v>243</v>
      </c>
      <c r="D10" t="s">
        <v>242</v>
      </c>
      <c r="E10">
        <v>25</v>
      </c>
      <c r="F10">
        <v>26</v>
      </c>
      <c r="G10">
        <v>64</v>
      </c>
      <c r="H10">
        <v>47</v>
      </c>
      <c r="I10">
        <v>83</v>
      </c>
      <c r="J10">
        <v>79</v>
      </c>
      <c r="K10">
        <v>110</v>
      </c>
      <c r="L10">
        <v>116</v>
      </c>
      <c r="M10">
        <v>110</v>
      </c>
      <c r="N10">
        <v>116</v>
      </c>
      <c r="Q10">
        <f t="shared" si="0"/>
        <v>46</v>
      </c>
      <c r="R10">
        <f t="shared" si="1"/>
        <v>69</v>
      </c>
      <c r="S10">
        <f t="shared" si="2"/>
        <v>17</v>
      </c>
    </row>
    <row r="11" spans="1:27">
      <c r="A11">
        <v>22</v>
      </c>
      <c r="B11" s="68">
        <v>43432</v>
      </c>
      <c r="C11" t="s">
        <v>243</v>
      </c>
      <c r="D11" t="s">
        <v>270</v>
      </c>
      <c r="E11">
        <v>30</v>
      </c>
      <c r="F11">
        <v>33</v>
      </c>
      <c r="G11">
        <v>63</v>
      </c>
      <c r="H11">
        <v>55</v>
      </c>
      <c r="I11">
        <v>84</v>
      </c>
      <c r="J11">
        <v>95</v>
      </c>
      <c r="K11">
        <v>112</v>
      </c>
      <c r="L11">
        <v>115</v>
      </c>
      <c r="M11">
        <v>112</v>
      </c>
      <c r="N11">
        <v>115</v>
      </c>
      <c r="Q11">
        <f t="shared" si="0"/>
        <v>49</v>
      </c>
      <c r="R11">
        <f t="shared" si="1"/>
        <v>60</v>
      </c>
      <c r="S11">
        <f t="shared" si="2"/>
        <v>8</v>
      </c>
    </row>
    <row r="12" spans="1:27">
      <c r="A12">
        <v>23</v>
      </c>
      <c r="B12" s="68">
        <v>43434</v>
      </c>
      <c r="C12" t="s">
        <v>243</v>
      </c>
      <c r="D12" t="s">
        <v>266</v>
      </c>
      <c r="E12">
        <v>21</v>
      </c>
      <c r="F12">
        <v>25</v>
      </c>
      <c r="G12">
        <v>51</v>
      </c>
      <c r="H12">
        <v>48</v>
      </c>
      <c r="I12">
        <v>75</v>
      </c>
      <c r="J12">
        <v>71</v>
      </c>
      <c r="K12">
        <v>99</v>
      </c>
      <c r="L12">
        <v>85</v>
      </c>
      <c r="M12">
        <v>99</v>
      </c>
      <c r="N12">
        <v>85</v>
      </c>
      <c r="Q12">
        <f t="shared" si="0"/>
        <v>48</v>
      </c>
      <c r="R12">
        <f t="shared" si="1"/>
        <v>37</v>
      </c>
      <c r="S12">
        <f t="shared" si="2"/>
        <v>3</v>
      </c>
    </row>
    <row r="13" spans="1:27">
      <c r="A13">
        <v>24</v>
      </c>
      <c r="B13" s="68">
        <v>43438</v>
      </c>
      <c r="C13" t="s">
        <v>243</v>
      </c>
      <c r="D13" t="s">
        <v>251</v>
      </c>
      <c r="E13">
        <v>27</v>
      </c>
      <c r="F13">
        <v>25</v>
      </c>
      <c r="G13">
        <v>46</v>
      </c>
      <c r="H13">
        <v>50</v>
      </c>
      <c r="I13">
        <v>76</v>
      </c>
      <c r="J13">
        <v>62</v>
      </c>
      <c r="K13">
        <v>105</v>
      </c>
      <c r="L13">
        <v>90</v>
      </c>
      <c r="M13">
        <v>105</v>
      </c>
      <c r="N13">
        <v>90</v>
      </c>
      <c r="Q13">
        <f t="shared" si="0"/>
        <v>59</v>
      </c>
      <c r="R13">
        <f t="shared" si="1"/>
        <v>40</v>
      </c>
      <c r="S13">
        <f t="shared" si="2"/>
        <v>-4</v>
      </c>
    </row>
    <row r="14" spans="1:27">
      <c r="A14">
        <v>27</v>
      </c>
      <c r="B14" s="68">
        <v>43444</v>
      </c>
      <c r="C14" t="s">
        <v>243</v>
      </c>
      <c r="D14" t="s">
        <v>265</v>
      </c>
      <c r="E14">
        <v>19</v>
      </c>
      <c r="F14">
        <v>24</v>
      </c>
      <c r="G14">
        <v>40</v>
      </c>
      <c r="H14">
        <v>52</v>
      </c>
      <c r="I14">
        <v>53</v>
      </c>
      <c r="J14">
        <v>75</v>
      </c>
      <c r="K14">
        <v>76</v>
      </c>
      <c r="L14">
        <v>101</v>
      </c>
      <c r="M14">
        <v>76</v>
      </c>
      <c r="N14">
        <v>101</v>
      </c>
      <c r="Q14">
        <f t="shared" si="0"/>
        <v>36</v>
      </c>
      <c r="R14">
        <f t="shared" si="1"/>
        <v>49</v>
      </c>
      <c r="S14">
        <f t="shared" si="2"/>
        <v>-12</v>
      </c>
    </row>
    <row r="15" spans="1:27">
      <c r="A15">
        <v>31</v>
      </c>
      <c r="B15" s="68">
        <v>43455</v>
      </c>
      <c r="C15" t="s">
        <v>243</v>
      </c>
      <c r="D15" t="s">
        <v>267</v>
      </c>
      <c r="E15">
        <v>20</v>
      </c>
      <c r="F15">
        <v>19</v>
      </c>
      <c r="G15">
        <v>39</v>
      </c>
      <c r="H15">
        <v>46</v>
      </c>
      <c r="I15">
        <v>63</v>
      </c>
      <c r="J15">
        <v>73</v>
      </c>
      <c r="K15">
        <v>80</v>
      </c>
      <c r="L15">
        <v>90</v>
      </c>
      <c r="M15">
        <v>80</v>
      </c>
      <c r="N15">
        <v>90</v>
      </c>
      <c r="Q15">
        <f t="shared" si="0"/>
        <v>41</v>
      </c>
      <c r="R15">
        <f t="shared" si="1"/>
        <v>44</v>
      </c>
      <c r="S15">
        <f t="shared" si="2"/>
        <v>-7</v>
      </c>
    </row>
    <row r="16" spans="1:27">
      <c r="A16">
        <v>36</v>
      </c>
      <c r="B16" s="68">
        <v>43465</v>
      </c>
      <c r="C16" t="s">
        <v>243</v>
      </c>
      <c r="D16" t="s">
        <v>246</v>
      </c>
      <c r="E16">
        <v>23</v>
      </c>
      <c r="F16">
        <v>36</v>
      </c>
      <c r="G16">
        <v>53</v>
      </c>
      <c r="H16">
        <v>63</v>
      </c>
      <c r="I16">
        <v>77</v>
      </c>
      <c r="J16">
        <v>95</v>
      </c>
      <c r="K16">
        <v>100</v>
      </c>
      <c r="L16">
        <v>125</v>
      </c>
      <c r="M16">
        <v>100</v>
      </c>
      <c r="N16">
        <v>125</v>
      </c>
      <c r="Q16">
        <f t="shared" si="0"/>
        <v>47</v>
      </c>
      <c r="R16">
        <f t="shared" si="1"/>
        <v>62</v>
      </c>
      <c r="S16">
        <f t="shared" si="2"/>
        <v>-10</v>
      </c>
    </row>
    <row r="17" spans="1:19">
      <c r="A17">
        <v>37</v>
      </c>
      <c r="B17" s="68">
        <v>43467</v>
      </c>
      <c r="C17" t="s">
        <v>243</v>
      </c>
      <c r="D17" t="s">
        <v>267</v>
      </c>
      <c r="E17">
        <v>32</v>
      </c>
      <c r="F17">
        <v>16</v>
      </c>
      <c r="G17">
        <v>62</v>
      </c>
      <c r="H17">
        <v>45</v>
      </c>
      <c r="I17">
        <v>90</v>
      </c>
      <c r="J17">
        <v>62</v>
      </c>
      <c r="K17">
        <v>112</v>
      </c>
      <c r="L17">
        <v>84</v>
      </c>
      <c r="M17">
        <v>112</v>
      </c>
      <c r="N17">
        <v>84</v>
      </c>
      <c r="Q17">
        <f t="shared" si="0"/>
        <v>50</v>
      </c>
      <c r="R17">
        <f t="shared" si="1"/>
        <v>39</v>
      </c>
      <c r="S17">
        <f t="shared" si="2"/>
        <v>17</v>
      </c>
    </row>
    <row r="18" spans="1:19">
      <c r="A18">
        <v>1</v>
      </c>
      <c r="B18" s="68">
        <v>43390</v>
      </c>
      <c r="C18" t="s">
        <v>244</v>
      </c>
      <c r="D18" t="s">
        <v>251</v>
      </c>
      <c r="E18">
        <v>25</v>
      </c>
      <c r="F18">
        <v>31</v>
      </c>
      <c r="G18">
        <v>54</v>
      </c>
      <c r="H18">
        <v>51</v>
      </c>
      <c r="I18">
        <v>79</v>
      </c>
      <c r="J18">
        <v>78</v>
      </c>
      <c r="K18">
        <v>104</v>
      </c>
      <c r="L18">
        <v>101</v>
      </c>
      <c r="M18">
        <v>104</v>
      </c>
      <c r="N18">
        <v>101</v>
      </c>
    </row>
    <row r="19" spans="1:19">
      <c r="A19">
        <v>2</v>
      </c>
      <c r="B19" s="68">
        <v>43392</v>
      </c>
      <c r="C19" t="s">
        <v>244</v>
      </c>
      <c r="D19" t="s">
        <v>246</v>
      </c>
      <c r="E19">
        <v>10</v>
      </c>
      <c r="F19">
        <v>22</v>
      </c>
      <c r="G19">
        <v>31</v>
      </c>
      <c r="H19">
        <v>51</v>
      </c>
      <c r="I19">
        <v>54</v>
      </c>
      <c r="J19">
        <v>82</v>
      </c>
      <c r="K19">
        <v>88</v>
      </c>
      <c r="L19">
        <v>120</v>
      </c>
      <c r="M19">
        <v>88</v>
      </c>
      <c r="N19">
        <v>120</v>
      </c>
    </row>
    <row r="20" spans="1:19">
      <c r="A20">
        <v>5</v>
      </c>
      <c r="B20" s="68">
        <v>43398</v>
      </c>
      <c r="C20" t="s">
        <v>244</v>
      </c>
      <c r="D20" t="s">
        <v>270</v>
      </c>
      <c r="E20">
        <v>22</v>
      </c>
      <c r="F20">
        <v>33</v>
      </c>
      <c r="G20">
        <v>48</v>
      </c>
      <c r="H20">
        <v>58</v>
      </c>
      <c r="I20">
        <v>84</v>
      </c>
      <c r="J20">
        <v>91</v>
      </c>
      <c r="K20">
        <v>114</v>
      </c>
      <c r="L20">
        <v>128</v>
      </c>
      <c r="M20">
        <v>114</v>
      </c>
      <c r="N20">
        <v>128</v>
      </c>
    </row>
    <row r="21" spans="1:19">
      <c r="A21">
        <v>7</v>
      </c>
      <c r="B21" s="68">
        <v>43403</v>
      </c>
      <c r="C21" t="s">
        <v>244</v>
      </c>
      <c r="D21" t="s">
        <v>262</v>
      </c>
      <c r="E21">
        <v>31</v>
      </c>
      <c r="F21">
        <v>26</v>
      </c>
      <c r="G21">
        <v>56</v>
      </c>
      <c r="H21">
        <v>59</v>
      </c>
      <c r="I21">
        <v>72</v>
      </c>
      <c r="J21">
        <v>85</v>
      </c>
      <c r="K21">
        <v>99</v>
      </c>
      <c r="L21">
        <v>107</v>
      </c>
      <c r="M21">
        <v>99</v>
      </c>
      <c r="N21">
        <v>107</v>
      </c>
    </row>
    <row r="22" spans="1:19">
      <c r="A22">
        <v>8</v>
      </c>
      <c r="B22" s="68">
        <v>43406</v>
      </c>
      <c r="C22" t="s">
        <v>244</v>
      </c>
      <c r="D22" t="s">
        <v>264</v>
      </c>
      <c r="E22">
        <v>22</v>
      </c>
      <c r="F22">
        <v>22</v>
      </c>
      <c r="G22">
        <v>44</v>
      </c>
      <c r="H22">
        <v>57</v>
      </c>
      <c r="I22">
        <v>72</v>
      </c>
      <c r="J22">
        <v>87</v>
      </c>
      <c r="K22">
        <v>95</v>
      </c>
      <c r="L22">
        <v>120</v>
      </c>
      <c r="M22">
        <v>95</v>
      </c>
      <c r="N22">
        <v>120</v>
      </c>
    </row>
    <row r="23" spans="1:19">
      <c r="A23">
        <v>10</v>
      </c>
      <c r="B23" s="68">
        <v>43409</v>
      </c>
      <c r="C23" t="s">
        <v>244</v>
      </c>
      <c r="D23" t="s">
        <v>255</v>
      </c>
      <c r="E23">
        <v>30</v>
      </c>
      <c r="F23">
        <v>21</v>
      </c>
      <c r="G23">
        <v>58</v>
      </c>
      <c r="H23">
        <v>47</v>
      </c>
      <c r="I23">
        <v>70</v>
      </c>
      <c r="J23">
        <v>79</v>
      </c>
      <c r="K23">
        <v>102</v>
      </c>
      <c r="L23">
        <v>100</v>
      </c>
      <c r="M23">
        <v>102</v>
      </c>
      <c r="N23">
        <v>100</v>
      </c>
    </row>
    <row r="24" spans="1:19">
      <c r="A24">
        <v>11</v>
      </c>
      <c r="B24" s="68">
        <v>43411</v>
      </c>
      <c r="C24" t="s">
        <v>244</v>
      </c>
      <c r="D24" t="s">
        <v>248</v>
      </c>
      <c r="E24">
        <v>31</v>
      </c>
      <c r="F24">
        <v>26</v>
      </c>
      <c r="G24">
        <v>51</v>
      </c>
      <c r="H24">
        <v>58</v>
      </c>
      <c r="I24">
        <v>80</v>
      </c>
      <c r="J24">
        <v>78</v>
      </c>
      <c r="K24">
        <v>96</v>
      </c>
      <c r="L24">
        <v>103</v>
      </c>
      <c r="M24">
        <v>96</v>
      </c>
      <c r="N24">
        <v>103</v>
      </c>
    </row>
    <row r="25" spans="1:19">
      <c r="A25">
        <v>12</v>
      </c>
      <c r="B25" s="68">
        <v>43413</v>
      </c>
      <c r="C25" t="s">
        <v>244</v>
      </c>
      <c r="D25" t="s">
        <v>268</v>
      </c>
      <c r="E25">
        <v>32</v>
      </c>
      <c r="F25">
        <v>25</v>
      </c>
      <c r="G25">
        <v>63</v>
      </c>
      <c r="H25">
        <v>48</v>
      </c>
      <c r="I25">
        <v>89</v>
      </c>
      <c r="J25">
        <v>74</v>
      </c>
      <c r="K25">
        <v>117</v>
      </c>
      <c r="L25">
        <v>108</v>
      </c>
      <c r="M25">
        <v>117</v>
      </c>
      <c r="N25">
        <v>108</v>
      </c>
    </row>
    <row r="26" spans="1:19">
      <c r="A26">
        <v>15</v>
      </c>
      <c r="B26" s="68">
        <v>43418</v>
      </c>
      <c r="C26" t="s">
        <v>244</v>
      </c>
      <c r="D26" t="s">
        <v>239</v>
      </c>
      <c r="E26">
        <v>27</v>
      </c>
      <c r="F26">
        <v>30</v>
      </c>
      <c r="G26">
        <v>53</v>
      </c>
      <c r="H26">
        <v>52</v>
      </c>
      <c r="I26">
        <v>76</v>
      </c>
      <c r="J26">
        <v>87</v>
      </c>
      <c r="K26">
        <v>111</v>
      </c>
      <c r="L26">
        <v>106</v>
      </c>
      <c r="M26">
        <v>111</v>
      </c>
      <c r="N26">
        <v>106</v>
      </c>
    </row>
    <row r="27" spans="1:19">
      <c r="A27">
        <v>16</v>
      </c>
      <c r="B27" s="68">
        <v>43421</v>
      </c>
      <c r="C27" t="s">
        <v>244</v>
      </c>
      <c r="D27" t="s">
        <v>269</v>
      </c>
      <c r="E27">
        <v>25</v>
      </c>
      <c r="F27">
        <v>31</v>
      </c>
      <c r="G27">
        <v>62</v>
      </c>
      <c r="H27">
        <v>53</v>
      </c>
      <c r="I27">
        <v>100</v>
      </c>
      <c r="J27">
        <v>81</v>
      </c>
      <c r="K27">
        <v>130</v>
      </c>
      <c r="L27">
        <v>117</v>
      </c>
      <c r="M27">
        <v>130</v>
      </c>
      <c r="N27">
        <v>117</v>
      </c>
    </row>
    <row r="28" spans="1:19">
      <c r="A28">
        <v>17</v>
      </c>
      <c r="B28" s="68">
        <v>43422</v>
      </c>
      <c r="C28" t="s">
        <v>244</v>
      </c>
      <c r="D28" t="s">
        <v>254</v>
      </c>
      <c r="E28">
        <v>44</v>
      </c>
      <c r="F28">
        <v>31</v>
      </c>
      <c r="G28">
        <v>67</v>
      </c>
      <c r="H28">
        <v>66</v>
      </c>
      <c r="I28">
        <v>98</v>
      </c>
      <c r="J28">
        <v>92</v>
      </c>
      <c r="K28">
        <v>131</v>
      </c>
      <c r="L28">
        <v>117</v>
      </c>
      <c r="M28">
        <v>131</v>
      </c>
      <c r="N28">
        <v>117</v>
      </c>
    </row>
    <row r="29" spans="1:19">
      <c r="A29">
        <v>18</v>
      </c>
      <c r="B29" s="68">
        <v>43424</v>
      </c>
      <c r="C29" t="s">
        <v>244</v>
      </c>
      <c r="D29" t="s">
        <v>256</v>
      </c>
      <c r="E29">
        <v>17</v>
      </c>
      <c r="F29">
        <v>29</v>
      </c>
      <c r="G29">
        <v>37</v>
      </c>
      <c r="H29">
        <v>47</v>
      </c>
      <c r="I29">
        <v>75</v>
      </c>
      <c r="J29">
        <v>73</v>
      </c>
      <c r="K29">
        <v>91</v>
      </c>
      <c r="L29">
        <v>93</v>
      </c>
      <c r="M29">
        <v>91</v>
      </c>
      <c r="N29">
        <v>93</v>
      </c>
    </row>
    <row r="30" spans="1:19">
      <c r="A30">
        <v>25</v>
      </c>
      <c r="B30" s="68">
        <v>43439</v>
      </c>
      <c r="C30" t="s">
        <v>244</v>
      </c>
      <c r="D30" t="s">
        <v>263</v>
      </c>
      <c r="E30">
        <v>28</v>
      </c>
      <c r="F30">
        <v>31</v>
      </c>
      <c r="G30">
        <v>54</v>
      </c>
      <c r="H30">
        <v>56</v>
      </c>
      <c r="I30">
        <v>86</v>
      </c>
      <c r="J30">
        <v>88</v>
      </c>
      <c r="K30">
        <v>112</v>
      </c>
      <c r="L30">
        <v>112</v>
      </c>
      <c r="M30">
        <v>118</v>
      </c>
      <c r="N30">
        <v>124</v>
      </c>
      <c r="O30">
        <v>118</v>
      </c>
      <c r="P30">
        <v>124</v>
      </c>
    </row>
    <row r="31" spans="1:19">
      <c r="A31">
        <v>26</v>
      </c>
      <c r="B31" s="68">
        <v>43441</v>
      </c>
      <c r="C31" t="s">
        <v>244</v>
      </c>
      <c r="D31" t="s">
        <v>250</v>
      </c>
      <c r="E31">
        <v>25</v>
      </c>
      <c r="F31">
        <v>28</v>
      </c>
      <c r="G31">
        <v>45</v>
      </c>
      <c r="H31">
        <v>57</v>
      </c>
      <c r="I31">
        <v>70</v>
      </c>
      <c r="J31">
        <v>86</v>
      </c>
      <c r="K31">
        <v>90</v>
      </c>
      <c r="L31">
        <v>112</v>
      </c>
      <c r="M31">
        <v>90</v>
      </c>
      <c r="N31">
        <v>112</v>
      </c>
    </row>
    <row r="32" spans="1:19">
      <c r="A32">
        <v>28</v>
      </c>
      <c r="B32" s="68">
        <v>43447</v>
      </c>
      <c r="C32" t="s">
        <v>244</v>
      </c>
      <c r="D32" t="s">
        <v>267</v>
      </c>
      <c r="E32">
        <v>24</v>
      </c>
      <c r="F32">
        <v>26</v>
      </c>
      <c r="G32">
        <v>51</v>
      </c>
      <c r="H32">
        <v>46</v>
      </c>
      <c r="I32">
        <v>77</v>
      </c>
      <c r="J32">
        <v>71</v>
      </c>
      <c r="K32">
        <v>97</v>
      </c>
      <c r="L32">
        <v>91</v>
      </c>
      <c r="M32">
        <v>97</v>
      </c>
      <c r="N32">
        <v>91</v>
      </c>
    </row>
    <row r="33" spans="1:16">
      <c r="A33">
        <v>29</v>
      </c>
      <c r="B33" s="68">
        <v>43449</v>
      </c>
      <c r="C33" t="s">
        <v>244</v>
      </c>
      <c r="D33" t="s">
        <v>261</v>
      </c>
      <c r="E33">
        <v>14</v>
      </c>
      <c r="F33">
        <v>14</v>
      </c>
      <c r="G33">
        <v>33</v>
      </c>
      <c r="H33">
        <v>35</v>
      </c>
      <c r="I33">
        <v>55</v>
      </c>
      <c r="J33">
        <v>59</v>
      </c>
      <c r="K33">
        <v>96</v>
      </c>
      <c r="L33">
        <v>89</v>
      </c>
      <c r="M33">
        <v>96</v>
      </c>
      <c r="N33">
        <v>89</v>
      </c>
    </row>
    <row r="34" spans="1:16">
      <c r="A34">
        <v>30</v>
      </c>
      <c r="B34" s="68">
        <v>43453</v>
      </c>
      <c r="C34" t="s">
        <v>244</v>
      </c>
      <c r="D34" t="s">
        <v>260</v>
      </c>
      <c r="E34">
        <v>24</v>
      </c>
      <c r="F34">
        <v>31</v>
      </c>
      <c r="G34">
        <v>44</v>
      </c>
      <c r="H34">
        <v>66</v>
      </c>
      <c r="I34">
        <v>77</v>
      </c>
      <c r="J34">
        <v>104</v>
      </c>
      <c r="K34">
        <v>90</v>
      </c>
      <c r="L34">
        <v>129</v>
      </c>
      <c r="M34">
        <v>90</v>
      </c>
      <c r="N34">
        <v>129</v>
      </c>
    </row>
    <row r="35" spans="1:16">
      <c r="A35">
        <v>32</v>
      </c>
      <c r="B35" s="68">
        <v>43457</v>
      </c>
      <c r="C35" t="s">
        <v>244</v>
      </c>
      <c r="D35" t="s">
        <v>251</v>
      </c>
      <c r="E35">
        <v>17</v>
      </c>
      <c r="F35">
        <v>28</v>
      </c>
      <c r="G35">
        <v>44</v>
      </c>
      <c r="H35">
        <v>53</v>
      </c>
      <c r="I35">
        <v>71</v>
      </c>
      <c r="J35">
        <v>90</v>
      </c>
      <c r="K35">
        <v>91</v>
      </c>
      <c r="L35">
        <v>115</v>
      </c>
      <c r="M35">
        <v>91</v>
      </c>
      <c r="N35">
        <v>115</v>
      </c>
    </row>
    <row r="36" spans="1:16">
      <c r="A36">
        <v>33</v>
      </c>
      <c r="B36" s="68">
        <v>43460</v>
      </c>
      <c r="C36" t="s">
        <v>244</v>
      </c>
      <c r="D36" t="s">
        <v>266</v>
      </c>
      <c r="E36">
        <v>32</v>
      </c>
      <c r="F36">
        <v>26</v>
      </c>
      <c r="G36">
        <v>53</v>
      </c>
      <c r="H36">
        <v>62</v>
      </c>
      <c r="I36">
        <v>87</v>
      </c>
      <c r="J36">
        <v>90</v>
      </c>
      <c r="K36">
        <v>118</v>
      </c>
      <c r="L36">
        <v>118</v>
      </c>
      <c r="M36">
        <v>120</v>
      </c>
      <c r="N36">
        <v>122</v>
      </c>
      <c r="O36">
        <v>120</v>
      </c>
      <c r="P36">
        <v>122</v>
      </c>
    </row>
    <row r="37" spans="1:16">
      <c r="A37">
        <v>34</v>
      </c>
      <c r="B37" s="68">
        <v>43462</v>
      </c>
      <c r="C37" t="s">
        <v>244</v>
      </c>
      <c r="D37" t="s">
        <v>256</v>
      </c>
      <c r="E37">
        <v>25</v>
      </c>
      <c r="F37">
        <v>29</v>
      </c>
      <c r="G37">
        <v>57</v>
      </c>
      <c r="H37">
        <v>48</v>
      </c>
      <c r="I37">
        <v>92</v>
      </c>
      <c r="J37">
        <v>63</v>
      </c>
      <c r="K37">
        <v>116</v>
      </c>
      <c r="L37">
        <v>87</v>
      </c>
      <c r="M37">
        <v>116</v>
      </c>
      <c r="N37">
        <v>87</v>
      </c>
    </row>
    <row r="38" spans="1:16">
      <c r="A38">
        <v>35</v>
      </c>
      <c r="B38" s="68">
        <v>43464</v>
      </c>
      <c r="C38" t="s">
        <v>244</v>
      </c>
      <c r="D38" t="s">
        <v>248</v>
      </c>
      <c r="E38">
        <v>31</v>
      </c>
      <c r="F38">
        <v>21</v>
      </c>
      <c r="G38">
        <v>62</v>
      </c>
      <c r="H38">
        <v>59</v>
      </c>
      <c r="I38">
        <v>85</v>
      </c>
      <c r="J38">
        <v>83</v>
      </c>
      <c r="K38">
        <v>109</v>
      </c>
      <c r="L38">
        <v>107</v>
      </c>
      <c r="M38">
        <v>109</v>
      </c>
      <c r="N38">
        <v>107</v>
      </c>
    </row>
  </sheetData>
  <sortState xmlns:xlrd2="http://schemas.microsoft.com/office/spreadsheetml/2017/richdata2" ref="A2:R64">
    <sortCondition ref="C1"/>
  </sortState>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dimension ref="A1:R41"/>
  <sheetViews>
    <sheetView topLeftCell="R1" workbookViewId="0">
      <selection activeCell="R7" sqref="R7"/>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26953125" customWidth="1"/>
    <col min="20" max="20" width="19.08984375" customWidth="1"/>
    <col min="21" max="21" width="22.7265625" customWidth="1"/>
    <col min="22" max="22" width="18.54296875" customWidth="1"/>
    <col min="23" max="23" width="22.54296875" customWidth="1"/>
    <col min="24" max="24" width="20.26953125" customWidth="1"/>
    <col min="25" max="25" width="23.54296875" customWidth="1"/>
    <col min="26" max="26" width="22.08984375" customWidth="1"/>
    <col min="27" max="27" width="25.9062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3</v>
      </c>
      <c r="B2" s="68">
        <v>43393</v>
      </c>
      <c r="C2" t="s">
        <v>243</v>
      </c>
      <c r="D2" t="s">
        <v>268</v>
      </c>
      <c r="E2">
        <v>24</v>
      </c>
      <c r="F2">
        <v>22</v>
      </c>
      <c r="G2">
        <v>57</v>
      </c>
      <c r="H2">
        <v>54</v>
      </c>
      <c r="I2">
        <v>90</v>
      </c>
      <c r="J2">
        <v>82</v>
      </c>
      <c r="K2">
        <v>117</v>
      </c>
      <c r="L2">
        <v>113</v>
      </c>
      <c r="M2">
        <v>117</v>
      </c>
      <c r="N2">
        <v>113</v>
      </c>
    </row>
    <row r="3" spans="1:18">
      <c r="A3">
        <v>7</v>
      </c>
      <c r="B3" s="68">
        <v>43402</v>
      </c>
      <c r="C3" t="s">
        <v>243</v>
      </c>
      <c r="D3" t="s">
        <v>245</v>
      </c>
      <c r="E3">
        <v>29</v>
      </c>
      <c r="F3">
        <v>30</v>
      </c>
      <c r="G3">
        <v>53</v>
      </c>
      <c r="H3">
        <v>62</v>
      </c>
      <c r="I3">
        <v>80</v>
      </c>
      <c r="J3">
        <v>95</v>
      </c>
      <c r="K3">
        <v>109</v>
      </c>
      <c r="L3">
        <v>124</v>
      </c>
      <c r="M3">
        <v>109</v>
      </c>
      <c r="N3">
        <v>124</v>
      </c>
    </row>
    <row r="4" spans="1:18">
      <c r="A4">
        <v>9</v>
      </c>
      <c r="B4" s="68">
        <v>43406</v>
      </c>
      <c r="C4" t="s">
        <v>243</v>
      </c>
      <c r="D4" t="s">
        <v>266</v>
      </c>
      <c r="E4">
        <v>23</v>
      </c>
      <c r="F4">
        <v>26</v>
      </c>
      <c r="G4">
        <v>48</v>
      </c>
      <c r="H4">
        <v>52</v>
      </c>
      <c r="I4">
        <v>77</v>
      </c>
      <c r="J4">
        <v>71</v>
      </c>
      <c r="K4">
        <v>107</v>
      </c>
      <c r="L4">
        <v>98</v>
      </c>
      <c r="M4">
        <v>107</v>
      </c>
      <c r="N4">
        <v>98</v>
      </c>
    </row>
    <row r="5" spans="1:18">
      <c r="A5">
        <v>10</v>
      </c>
      <c r="B5" s="68">
        <v>43408</v>
      </c>
      <c r="C5" t="s">
        <v>243</v>
      </c>
      <c r="D5" t="s">
        <v>269</v>
      </c>
      <c r="E5">
        <v>42</v>
      </c>
      <c r="F5">
        <v>17</v>
      </c>
      <c r="G5">
        <v>71</v>
      </c>
      <c r="H5">
        <v>49</v>
      </c>
      <c r="I5">
        <v>101</v>
      </c>
      <c r="J5">
        <v>80</v>
      </c>
      <c r="K5">
        <v>121</v>
      </c>
      <c r="L5">
        <v>107</v>
      </c>
      <c r="M5">
        <v>121</v>
      </c>
      <c r="N5">
        <v>107</v>
      </c>
    </row>
    <row r="6" spans="1:18">
      <c r="A6">
        <v>11</v>
      </c>
      <c r="B6" s="68">
        <v>43409</v>
      </c>
      <c r="C6" t="s">
        <v>243</v>
      </c>
      <c r="D6" t="s">
        <v>261</v>
      </c>
      <c r="E6">
        <v>30</v>
      </c>
      <c r="F6">
        <v>31</v>
      </c>
      <c r="G6">
        <v>65</v>
      </c>
      <c r="H6">
        <v>54</v>
      </c>
      <c r="I6">
        <v>94</v>
      </c>
      <c r="J6">
        <v>72</v>
      </c>
      <c r="K6">
        <v>124</v>
      </c>
      <c r="L6">
        <v>111</v>
      </c>
      <c r="M6">
        <v>124</v>
      </c>
      <c r="N6">
        <v>111</v>
      </c>
    </row>
    <row r="7" spans="1:18">
      <c r="A7">
        <v>12</v>
      </c>
      <c r="B7" s="68">
        <v>43411</v>
      </c>
      <c r="C7" t="s">
        <v>243</v>
      </c>
      <c r="D7" t="s">
        <v>262</v>
      </c>
      <c r="E7">
        <v>29</v>
      </c>
      <c r="F7">
        <v>26</v>
      </c>
      <c r="G7">
        <v>64</v>
      </c>
      <c r="H7">
        <v>51</v>
      </c>
      <c r="I7">
        <v>94</v>
      </c>
      <c r="J7">
        <v>78</v>
      </c>
      <c r="K7">
        <v>114</v>
      </c>
      <c r="L7">
        <v>105</v>
      </c>
      <c r="M7">
        <v>114</v>
      </c>
      <c r="N7">
        <v>105</v>
      </c>
    </row>
    <row r="8" spans="1:18">
      <c r="A8">
        <v>16</v>
      </c>
      <c r="B8" s="68">
        <v>43420</v>
      </c>
      <c r="C8" t="s">
        <v>243</v>
      </c>
      <c r="D8" t="s">
        <v>240</v>
      </c>
      <c r="E8">
        <v>27</v>
      </c>
      <c r="F8">
        <v>30</v>
      </c>
      <c r="G8">
        <v>52</v>
      </c>
      <c r="H8">
        <v>54</v>
      </c>
      <c r="I8">
        <v>82</v>
      </c>
      <c r="J8">
        <v>78</v>
      </c>
      <c r="K8">
        <v>107</v>
      </c>
      <c r="L8">
        <v>107</v>
      </c>
      <c r="M8">
        <v>116</v>
      </c>
      <c r="N8">
        <v>123</v>
      </c>
      <c r="O8">
        <v>116</v>
      </c>
      <c r="P8">
        <v>123</v>
      </c>
    </row>
    <row r="9" spans="1:18">
      <c r="A9">
        <v>17</v>
      </c>
      <c r="B9" s="68">
        <v>43421</v>
      </c>
      <c r="C9" t="s">
        <v>243</v>
      </c>
      <c r="D9" t="s">
        <v>267</v>
      </c>
      <c r="E9">
        <v>27</v>
      </c>
      <c r="F9">
        <v>18</v>
      </c>
      <c r="G9">
        <v>57</v>
      </c>
      <c r="H9">
        <v>44</v>
      </c>
      <c r="I9">
        <v>89</v>
      </c>
      <c r="J9">
        <v>56</v>
      </c>
      <c r="K9">
        <v>122</v>
      </c>
      <c r="L9">
        <v>83</v>
      </c>
      <c r="M9">
        <v>122</v>
      </c>
      <c r="N9">
        <v>83</v>
      </c>
    </row>
    <row r="10" spans="1:18">
      <c r="A10">
        <v>18</v>
      </c>
      <c r="B10" s="68">
        <v>43424</v>
      </c>
      <c r="C10" t="s">
        <v>243</v>
      </c>
      <c r="D10" t="s">
        <v>252</v>
      </c>
      <c r="E10">
        <v>29</v>
      </c>
      <c r="F10">
        <v>17</v>
      </c>
      <c r="G10">
        <v>47</v>
      </c>
      <c r="H10">
        <v>37</v>
      </c>
      <c r="I10">
        <v>73</v>
      </c>
      <c r="J10">
        <v>75</v>
      </c>
      <c r="K10">
        <v>93</v>
      </c>
      <c r="L10">
        <v>91</v>
      </c>
      <c r="M10">
        <v>93</v>
      </c>
      <c r="N10">
        <v>91</v>
      </c>
    </row>
    <row r="11" spans="1:18">
      <c r="A11">
        <v>19</v>
      </c>
      <c r="B11" s="68">
        <v>43425</v>
      </c>
      <c r="C11" t="s">
        <v>243</v>
      </c>
      <c r="D11" t="s">
        <v>253</v>
      </c>
      <c r="E11">
        <v>29</v>
      </c>
      <c r="F11">
        <v>24</v>
      </c>
      <c r="G11">
        <v>55</v>
      </c>
      <c r="H11">
        <v>44</v>
      </c>
      <c r="I11">
        <v>86</v>
      </c>
      <c r="J11">
        <v>73</v>
      </c>
      <c r="K11">
        <v>124</v>
      </c>
      <c r="L11">
        <v>108</v>
      </c>
      <c r="M11">
        <v>124</v>
      </c>
      <c r="N11">
        <v>108</v>
      </c>
    </row>
    <row r="12" spans="1:18">
      <c r="A12">
        <v>22</v>
      </c>
      <c r="B12" s="68">
        <v>43431</v>
      </c>
      <c r="C12" t="s">
        <v>243</v>
      </c>
      <c r="D12" t="s">
        <v>249</v>
      </c>
      <c r="E12">
        <v>31</v>
      </c>
      <c r="F12">
        <v>32</v>
      </c>
      <c r="G12">
        <v>59</v>
      </c>
      <c r="H12">
        <v>71</v>
      </c>
      <c r="I12">
        <v>93</v>
      </c>
      <c r="J12">
        <v>97</v>
      </c>
      <c r="K12">
        <v>122</v>
      </c>
      <c r="L12">
        <v>114</v>
      </c>
      <c r="M12">
        <v>122</v>
      </c>
      <c r="N12">
        <v>114</v>
      </c>
    </row>
    <row r="13" spans="1:18">
      <c r="A13">
        <v>24</v>
      </c>
      <c r="B13" s="68">
        <v>43435</v>
      </c>
      <c r="C13" t="s">
        <v>243</v>
      </c>
      <c r="D13" t="s">
        <v>255</v>
      </c>
      <c r="E13">
        <v>21</v>
      </c>
      <c r="F13">
        <v>21</v>
      </c>
      <c r="G13">
        <v>47</v>
      </c>
      <c r="H13">
        <v>40</v>
      </c>
      <c r="I13">
        <v>77</v>
      </c>
      <c r="J13">
        <v>67</v>
      </c>
      <c r="K13">
        <v>106</v>
      </c>
      <c r="L13">
        <v>95</v>
      </c>
      <c r="M13">
        <v>106</v>
      </c>
      <c r="N13">
        <v>95</v>
      </c>
    </row>
    <row r="14" spans="1:18">
      <c r="A14">
        <v>27</v>
      </c>
      <c r="B14" s="68">
        <v>43441</v>
      </c>
      <c r="C14" t="s">
        <v>243</v>
      </c>
      <c r="D14" t="s">
        <v>247</v>
      </c>
      <c r="E14">
        <v>20</v>
      </c>
      <c r="F14">
        <v>24</v>
      </c>
      <c r="G14">
        <v>53</v>
      </c>
      <c r="H14">
        <v>53</v>
      </c>
      <c r="I14">
        <v>79</v>
      </c>
      <c r="J14">
        <v>80</v>
      </c>
      <c r="K14">
        <v>98</v>
      </c>
      <c r="L14">
        <v>98</v>
      </c>
      <c r="M14">
        <v>105</v>
      </c>
      <c r="N14">
        <v>106</v>
      </c>
      <c r="O14">
        <v>105</v>
      </c>
      <c r="P14">
        <v>106</v>
      </c>
    </row>
    <row r="15" spans="1:18">
      <c r="A15">
        <v>29</v>
      </c>
      <c r="B15" s="68">
        <v>43445</v>
      </c>
      <c r="C15" t="s">
        <v>243</v>
      </c>
      <c r="D15" t="s">
        <v>264</v>
      </c>
      <c r="E15">
        <v>36</v>
      </c>
      <c r="F15">
        <v>23</v>
      </c>
      <c r="G15">
        <v>70</v>
      </c>
      <c r="H15">
        <v>57</v>
      </c>
      <c r="I15">
        <v>103</v>
      </c>
      <c r="J15">
        <v>74</v>
      </c>
      <c r="K15">
        <v>123</v>
      </c>
      <c r="L15">
        <v>99</v>
      </c>
      <c r="M15">
        <v>123</v>
      </c>
      <c r="N15">
        <v>99</v>
      </c>
    </row>
    <row r="16" spans="1:18">
      <c r="A16">
        <v>30</v>
      </c>
      <c r="B16" s="68">
        <v>43446</v>
      </c>
      <c r="C16" t="s">
        <v>243</v>
      </c>
      <c r="D16" t="s">
        <v>242</v>
      </c>
      <c r="E16">
        <v>31</v>
      </c>
      <c r="F16">
        <v>22</v>
      </c>
      <c r="G16">
        <v>57</v>
      </c>
      <c r="H16">
        <v>41</v>
      </c>
      <c r="I16">
        <v>82</v>
      </c>
      <c r="J16">
        <v>67</v>
      </c>
      <c r="K16">
        <v>113</v>
      </c>
      <c r="L16">
        <v>93</v>
      </c>
      <c r="M16">
        <v>113</v>
      </c>
      <c r="N16">
        <v>93</v>
      </c>
    </row>
    <row r="17" spans="1:14">
      <c r="A17">
        <v>31</v>
      </c>
      <c r="B17" s="68">
        <v>43448</v>
      </c>
      <c r="C17" t="s">
        <v>243</v>
      </c>
      <c r="D17" t="s">
        <v>270</v>
      </c>
      <c r="E17">
        <v>23</v>
      </c>
      <c r="F17">
        <v>28</v>
      </c>
      <c r="G17">
        <v>50</v>
      </c>
      <c r="H17">
        <v>58</v>
      </c>
      <c r="I17">
        <v>89</v>
      </c>
      <c r="J17">
        <v>91</v>
      </c>
      <c r="K17">
        <v>122</v>
      </c>
      <c r="L17">
        <v>128</v>
      </c>
      <c r="M17">
        <v>122</v>
      </c>
      <c r="N17">
        <v>128</v>
      </c>
    </row>
    <row r="18" spans="1:14">
      <c r="A18">
        <v>32</v>
      </c>
      <c r="B18" s="68">
        <v>43450</v>
      </c>
      <c r="C18" t="s">
        <v>243</v>
      </c>
      <c r="D18" t="s">
        <v>263</v>
      </c>
      <c r="E18">
        <v>23</v>
      </c>
      <c r="F18">
        <v>23</v>
      </c>
      <c r="G18">
        <v>47</v>
      </c>
      <c r="H18">
        <v>39</v>
      </c>
      <c r="I18">
        <v>72</v>
      </c>
      <c r="J18">
        <v>68</v>
      </c>
      <c r="K18">
        <v>86</v>
      </c>
      <c r="L18">
        <v>95</v>
      </c>
      <c r="M18">
        <v>86</v>
      </c>
      <c r="N18">
        <v>95</v>
      </c>
    </row>
    <row r="19" spans="1:14">
      <c r="A19">
        <v>35</v>
      </c>
      <c r="B19" s="68">
        <v>43456</v>
      </c>
      <c r="C19" t="s">
        <v>243</v>
      </c>
      <c r="D19" t="s">
        <v>239</v>
      </c>
      <c r="E19">
        <v>30</v>
      </c>
      <c r="F19">
        <v>29</v>
      </c>
      <c r="G19">
        <v>59</v>
      </c>
      <c r="H19">
        <v>65</v>
      </c>
      <c r="I19">
        <v>79</v>
      </c>
      <c r="J19">
        <v>91</v>
      </c>
      <c r="K19">
        <v>101</v>
      </c>
      <c r="L19">
        <v>126</v>
      </c>
      <c r="M19">
        <v>101</v>
      </c>
      <c r="N19">
        <v>126</v>
      </c>
    </row>
    <row r="20" spans="1:14">
      <c r="A20">
        <v>36</v>
      </c>
      <c r="B20" s="68">
        <v>43460</v>
      </c>
      <c r="C20" t="s">
        <v>243</v>
      </c>
      <c r="D20" t="s">
        <v>251</v>
      </c>
      <c r="E20">
        <v>23</v>
      </c>
      <c r="F20">
        <v>31</v>
      </c>
      <c r="G20">
        <v>44</v>
      </c>
      <c r="H20">
        <v>58</v>
      </c>
      <c r="I20">
        <v>81</v>
      </c>
      <c r="J20">
        <v>79</v>
      </c>
      <c r="K20">
        <v>106</v>
      </c>
      <c r="L20">
        <v>104</v>
      </c>
      <c r="M20">
        <v>106</v>
      </c>
      <c r="N20">
        <v>104</v>
      </c>
    </row>
    <row r="21" spans="1:14">
      <c r="A21">
        <v>37</v>
      </c>
      <c r="B21" s="68">
        <v>43462</v>
      </c>
      <c r="C21" t="s">
        <v>243</v>
      </c>
      <c r="D21" t="s">
        <v>252</v>
      </c>
      <c r="E21">
        <v>29</v>
      </c>
      <c r="F21">
        <v>25</v>
      </c>
      <c r="G21">
        <v>48</v>
      </c>
      <c r="H21">
        <v>57</v>
      </c>
      <c r="I21">
        <v>63</v>
      </c>
      <c r="J21">
        <v>92</v>
      </c>
      <c r="K21">
        <v>87</v>
      </c>
      <c r="L21">
        <v>116</v>
      </c>
      <c r="M21">
        <v>87</v>
      </c>
      <c r="N21">
        <v>116</v>
      </c>
    </row>
    <row r="22" spans="1:14">
      <c r="A22">
        <v>40</v>
      </c>
      <c r="B22" s="68">
        <v>43468</v>
      </c>
      <c r="C22" t="s">
        <v>243</v>
      </c>
      <c r="D22" t="s">
        <v>260</v>
      </c>
      <c r="E22">
        <v>19</v>
      </c>
      <c r="F22">
        <v>38</v>
      </c>
      <c r="G22">
        <v>51</v>
      </c>
      <c r="H22">
        <v>67</v>
      </c>
      <c r="I22">
        <v>75</v>
      </c>
      <c r="J22">
        <v>96</v>
      </c>
      <c r="K22">
        <v>107</v>
      </c>
      <c r="L22">
        <v>125</v>
      </c>
      <c r="M22">
        <v>107</v>
      </c>
      <c r="N22">
        <v>125</v>
      </c>
    </row>
    <row r="23" spans="1:14">
      <c r="A23">
        <v>1</v>
      </c>
      <c r="B23" s="68">
        <v>43390</v>
      </c>
      <c r="C23" t="s">
        <v>244</v>
      </c>
      <c r="D23" t="s">
        <v>255</v>
      </c>
      <c r="E23">
        <v>28</v>
      </c>
      <c r="F23">
        <v>25</v>
      </c>
      <c r="G23">
        <v>60</v>
      </c>
      <c r="H23">
        <v>47</v>
      </c>
      <c r="I23">
        <v>90</v>
      </c>
      <c r="J23">
        <v>75</v>
      </c>
      <c r="K23">
        <v>116</v>
      </c>
      <c r="L23">
        <v>104</v>
      </c>
      <c r="M23">
        <v>116</v>
      </c>
      <c r="N23">
        <v>104</v>
      </c>
    </row>
    <row r="24" spans="1:14">
      <c r="A24">
        <v>2</v>
      </c>
      <c r="B24" s="68">
        <v>43392</v>
      </c>
      <c r="C24" t="s">
        <v>244</v>
      </c>
      <c r="D24" t="s">
        <v>240</v>
      </c>
      <c r="E24">
        <v>18</v>
      </c>
      <c r="F24">
        <v>25</v>
      </c>
      <c r="G24">
        <v>49</v>
      </c>
      <c r="H24">
        <v>53</v>
      </c>
      <c r="I24">
        <v>82</v>
      </c>
      <c r="J24">
        <v>79</v>
      </c>
      <c r="K24">
        <v>113</v>
      </c>
      <c r="L24">
        <v>101</v>
      </c>
      <c r="M24">
        <v>113</v>
      </c>
      <c r="N24">
        <v>101</v>
      </c>
    </row>
    <row r="25" spans="1:14">
      <c r="A25">
        <v>4</v>
      </c>
      <c r="B25" s="68">
        <v>43395</v>
      </c>
      <c r="C25" t="s">
        <v>244</v>
      </c>
      <c r="D25" t="s">
        <v>246</v>
      </c>
      <c r="E25">
        <v>31</v>
      </c>
      <c r="F25">
        <v>22</v>
      </c>
      <c r="G25">
        <v>62</v>
      </c>
      <c r="H25">
        <v>47</v>
      </c>
      <c r="I25">
        <v>97</v>
      </c>
      <c r="J25">
        <v>79</v>
      </c>
      <c r="K25">
        <v>127</v>
      </c>
      <c r="L25">
        <v>106</v>
      </c>
      <c r="M25">
        <v>127</v>
      </c>
      <c r="N25">
        <v>106</v>
      </c>
    </row>
    <row r="26" spans="1:14">
      <c r="A26">
        <v>5</v>
      </c>
      <c r="B26" s="68">
        <v>43397</v>
      </c>
      <c r="C26" t="s">
        <v>244</v>
      </c>
      <c r="D26" t="s">
        <v>259</v>
      </c>
      <c r="E26">
        <v>26</v>
      </c>
      <c r="F26">
        <v>19</v>
      </c>
      <c r="G26">
        <v>57</v>
      </c>
      <c r="H26">
        <v>48</v>
      </c>
      <c r="I26">
        <v>83</v>
      </c>
      <c r="J26">
        <v>74</v>
      </c>
      <c r="K26">
        <v>112</v>
      </c>
      <c r="L26">
        <v>105</v>
      </c>
      <c r="M26">
        <v>112</v>
      </c>
      <c r="N26">
        <v>105</v>
      </c>
    </row>
    <row r="27" spans="1:14">
      <c r="A27">
        <v>6</v>
      </c>
      <c r="B27" s="68">
        <v>43399</v>
      </c>
      <c r="C27" t="s">
        <v>244</v>
      </c>
      <c r="D27" t="s">
        <v>265</v>
      </c>
      <c r="E27">
        <v>39</v>
      </c>
      <c r="F27">
        <v>26</v>
      </c>
      <c r="G27">
        <v>69</v>
      </c>
      <c r="H27">
        <v>60</v>
      </c>
      <c r="I27">
        <v>92</v>
      </c>
      <c r="J27">
        <v>89</v>
      </c>
      <c r="K27">
        <v>116</v>
      </c>
      <c r="L27">
        <v>107</v>
      </c>
      <c r="M27">
        <v>116</v>
      </c>
      <c r="N27">
        <v>107</v>
      </c>
    </row>
    <row r="28" spans="1:14">
      <c r="A28">
        <v>8</v>
      </c>
      <c r="B28" s="68">
        <v>43403</v>
      </c>
      <c r="C28" t="s">
        <v>244</v>
      </c>
      <c r="D28" t="s">
        <v>239</v>
      </c>
      <c r="E28">
        <v>35</v>
      </c>
      <c r="F28">
        <v>26</v>
      </c>
      <c r="G28">
        <v>67</v>
      </c>
      <c r="H28">
        <v>53</v>
      </c>
      <c r="I28">
        <v>105</v>
      </c>
      <c r="J28">
        <v>86</v>
      </c>
      <c r="K28">
        <v>129</v>
      </c>
      <c r="L28">
        <v>112</v>
      </c>
      <c r="M28">
        <v>129</v>
      </c>
      <c r="N28">
        <v>112</v>
      </c>
    </row>
    <row r="29" spans="1:14">
      <c r="A29">
        <v>13</v>
      </c>
      <c r="B29" s="68">
        <v>43414</v>
      </c>
      <c r="C29" t="s">
        <v>244</v>
      </c>
      <c r="D29" t="s">
        <v>254</v>
      </c>
      <c r="E29">
        <v>25</v>
      </c>
      <c r="F29">
        <v>25</v>
      </c>
      <c r="G29">
        <v>64</v>
      </c>
      <c r="H29">
        <v>53</v>
      </c>
      <c r="I29">
        <v>100</v>
      </c>
      <c r="J29">
        <v>82</v>
      </c>
      <c r="K29">
        <v>128</v>
      </c>
      <c r="L29">
        <v>112</v>
      </c>
      <c r="M29">
        <v>128</v>
      </c>
      <c r="N29">
        <v>112</v>
      </c>
    </row>
    <row r="30" spans="1:14">
      <c r="A30">
        <v>14</v>
      </c>
      <c r="B30" s="68">
        <v>43416</v>
      </c>
      <c r="C30" t="s">
        <v>244</v>
      </c>
      <c r="D30" t="s">
        <v>257</v>
      </c>
      <c r="E30">
        <v>29</v>
      </c>
      <c r="F30">
        <v>31</v>
      </c>
      <c r="G30">
        <v>61</v>
      </c>
      <c r="H30">
        <v>66</v>
      </c>
      <c r="I30">
        <v>83</v>
      </c>
      <c r="J30">
        <v>94</v>
      </c>
      <c r="K30">
        <v>110</v>
      </c>
      <c r="L30">
        <v>126</v>
      </c>
      <c r="M30">
        <v>110</v>
      </c>
      <c r="N30">
        <v>126</v>
      </c>
    </row>
    <row r="31" spans="1:14">
      <c r="A31">
        <v>15</v>
      </c>
      <c r="B31" s="68">
        <v>43418</v>
      </c>
      <c r="C31" t="s">
        <v>244</v>
      </c>
      <c r="D31" t="s">
        <v>248</v>
      </c>
      <c r="E31">
        <v>31</v>
      </c>
      <c r="F31">
        <v>26</v>
      </c>
      <c r="G31">
        <v>65</v>
      </c>
      <c r="H31">
        <v>53</v>
      </c>
      <c r="I31">
        <v>88</v>
      </c>
      <c r="J31">
        <v>77</v>
      </c>
      <c r="K31">
        <v>104</v>
      </c>
      <c r="L31">
        <v>106</v>
      </c>
      <c r="M31">
        <v>104</v>
      </c>
      <c r="N31">
        <v>106</v>
      </c>
    </row>
    <row r="32" spans="1:14">
      <c r="A32">
        <v>20</v>
      </c>
      <c r="B32" s="68">
        <v>43427</v>
      </c>
      <c r="C32" t="s">
        <v>244</v>
      </c>
      <c r="D32" t="s">
        <v>268</v>
      </c>
      <c r="E32">
        <v>38</v>
      </c>
      <c r="F32">
        <v>26</v>
      </c>
      <c r="G32">
        <v>70</v>
      </c>
      <c r="H32">
        <v>62</v>
      </c>
      <c r="I32">
        <v>101</v>
      </c>
      <c r="J32">
        <v>87</v>
      </c>
      <c r="K32">
        <v>125</v>
      </c>
      <c r="L32">
        <v>107</v>
      </c>
      <c r="M32">
        <v>125</v>
      </c>
      <c r="N32">
        <v>107</v>
      </c>
    </row>
    <row r="33" spans="1:16">
      <c r="A33">
        <v>21</v>
      </c>
      <c r="B33" s="68">
        <v>43429</v>
      </c>
      <c r="C33" t="s">
        <v>244</v>
      </c>
      <c r="D33" t="s">
        <v>251</v>
      </c>
      <c r="E33">
        <v>36</v>
      </c>
      <c r="F33">
        <v>29</v>
      </c>
      <c r="G33">
        <v>63</v>
      </c>
      <c r="H33">
        <v>54</v>
      </c>
      <c r="I33">
        <v>101</v>
      </c>
      <c r="J33">
        <v>89</v>
      </c>
      <c r="K33">
        <v>125</v>
      </c>
      <c r="L33">
        <v>115</v>
      </c>
      <c r="M33">
        <v>125</v>
      </c>
      <c r="N33">
        <v>115</v>
      </c>
    </row>
    <row r="34" spans="1:16">
      <c r="A34">
        <v>23</v>
      </c>
      <c r="B34" s="68">
        <v>43433</v>
      </c>
      <c r="C34" t="s">
        <v>244</v>
      </c>
      <c r="D34" t="s">
        <v>242</v>
      </c>
      <c r="E34">
        <v>38</v>
      </c>
      <c r="F34">
        <v>25</v>
      </c>
      <c r="G34">
        <v>67</v>
      </c>
      <c r="H34">
        <v>58</v>
      </c>
      <c r="I34">
        <v>96</v>
      </c>
      <c r="J34">
        <v>88</v>
      </c>
      <c r="K34">
        <v>119</v>
      </c>
      <c r="L34">
        <v>119</v>
      </c>
      <c r="M34">
        <v>131</v>
      </c>
      <c r="N34">
        <v>128</v>
      </c>
      <c r="O34">
        <v>131</v>
      </c>
      <c r="P34">
        <v>128</v>
      </c>
    </row>
    <row r="35" spans="1:16">
      <c r="A35">
        <v>25</v>
      </c>
      <c r="B35" s="68">
        <v>43437</v>
      </c>
      <c r="C35" t="s">
        <v>244</v>
      </c>
      <c r="D35" t="s">
        <v>263</v>
      </c>
      <c r="E35">
        <v>24</v>
      </c>
      <c r="F35">
        <v>27</v>
      </c>
      <c r="G35">
        <v>47</v>
      </c>
      <c r="H35">
        <v>59</v>
      </c>
      <c r="I35">
        <v>78</v>
      </c>
      <c r="J35">
        <v>86</v>
      </c>
      <c r="K35">
        <v>103</v>
      </c>
      <c r="L35">
        <v>106</v>
      </c>
      <c r="M35">
        <v>103</v>
      </c>
      <c r="N35">
        <v>106</v>
      </c>
    </row>
    <row r="36" spans="1:16">
      <c r="A36">
        <v>26</v>
      </c>
      <c r="B36" s="68">
        <v>43439</v>
      </c>
      <c r="C36" t="s">
        <v>244</v>
      </c>
      <c r="D36" t="s">
        <v>239</v>
      </c>
      <c r="E36">
        <v>23</v>
      </c>
      <c r="F36">
        <v>29</v>
      </c>
      <c r="G36">
        <v>53</v>
      </c>
      <c r="H36">
        <v>49</v>
      </c>
      <c r="I36">
        <v>78</v>
      </c>
      <c r="J36">
        <v>77</v>
      </c>
      <c r="K36">
        <v>113</v>
      </c>
      <c r="L36">
        <v>102</v>
      </c>
      <c r="M36">
        <v>113</v>
      </c>
      <c r="N36">
        <v>102</v>
      </c>
    </row>
    <row r="37" spans="1:16">
      <c r="A37">
        <v>28</v>
      </c>
      <c r="B37" s="68">
        <v>43443</v>
      </c>
      <c r="C37" t="s">
        <v>244</v>
      </c>
      <c r="D37" t="s">
        <v>245</v>
      </c>
      <c r="E37">
        <v>30</v>
      </c>
      <c r="F37">
        <v>25</v>
      </c>
      <c r="G37">
        <v>49</v>
      </c>
      <c r="H37">
        <v>51</v>
      </c>
      <c r="I37">
        <v>74</v>
      </c>
      <c r="J37">
        <v>79</v>
      </c>
      <c r="K37">
        <v>99</v>
      </c>
      <c r="L37">
        <v>104</v>
      </c>
      <c r="M37">
        <v>99</v>
      </c>
      <c r="N37">
        <v>104</v>
      </c>
    </row>
    <row r="38" spans="1:16">
      <c r="A38">
        <v>33</v>
      </c>
      <c r="B38" s="68">
        <v>43453</v>
      </c>
      <c r="C38" t="s">
        <v>244</v>
      </c>
      <c r="D38" t="s">
        <v>250</v>
      </c>
      <c r="E38">
        <v>24</v>
      </c>
      <c r="F38">
        <v>34</v>
      </c>
      <c r="G38">
        <v>50</v>
      </c>
      <c r="H38">
        <v>58</v>
      </c>
      <c r="I38">
        <v>75</v>
      </c>
      <c r="J38">
        <v>85</v>
      </c>
      <c r="K38">
        <v>99</v>
      </c>
      <c r="L38">
        <v>96</v>
      </c>
      <c r="M38">
        <v>99</v>
      </c>
      <c r="N38">
        <v>96</v>
      </c>
    </row>
    <row r="39" spans="1:16">
      <c r="A39">
        <v>34</v>
      </c>
      <c r="B39" s="68">
        <v>43455</v>
      </c>
      <c r="C39" t="s">
        <v>244</v>
      </c>
      <c r="D39" t="s">
        <v>255</v>
      </c>
      <c r="E39">
        <v>34</v>
      </c>
      <c r="F39">
        <v>28</v>
      </c>
      <c r="G39">
        <v>59</v>
      </c>
      <c r="H39">
        <v>52</v>
      </c>
      <c r="I39">
        <v>99</v>
      </c>
      <c r="J39">
        <v>93</v>
      </c>
      <c r="K39">
        <v>126</v>
      </c>
      <c r="L39">
        <v>110</v>
      </c>
      <c r="M39">
        <v>126</v>
      </c>
      <c r="N39">
        <v>110</v>
      </c>
    </row>
    <row r="40" spans="1:16">
      <c r="A40">
        <v>38</v>
      </c>
      <c r="B40" s="68">
        <v>43464</v>
      </c>
      <c r="C40" t="s">
        <v>244</v>
      </c>
      <c r="D40" t="s">
        <v>267</v>
      </c>
      <c r="E40">
        <v>14</v>
      </c>
      <c r="F40">
        <v>20</v>
      </c>
      <c r="G40">
        <v>40</v>
      </c>
      <c r="H40">
        <v>39</v>
      </c>
      <c r="I40">
        <v>68</v>
      </c>
      <c r="J40">
        <v>65</v>
      </c>
      <c r="K40">
        <v>95</v>
      </c>
      <c r="L40">
        <v>89</v>
      </c>
      <c r="M40">
        <v>95</v>
      </c>
      <c r="N40">
        <v>89</v>
      </c>
    </row>
    <row r="41" spans="1:16">
      <c r="A41">
        <v>39</v>
      </c>
      <c r="B41" s="68">
        <v>43466</v>
      </c>
      <c r="C41" t="s">
        <v>244</v>
      </c>
      <c r="D41" t="s">
        <v>261</v>
      </c>
      <c r="E41">
        <v>26</v>
      </c>
      <c r="F41">
        <v>24</v>
      </c>
      <c r="G41">
        <v>51</v>
      </c>
      <c r="H41">
        <v>53</v>
      </c>
      <c r="I41">
        <v>95</v>
      </c>
      <c r="J41">
        <v>85</v>
      </c>
      <c r="K41">
        <v>122</v>
      </c>
      <c r="L41">
        <v>116</v>
      </c>
      <c r="M41">
        <v>122</v>
      </c>
      <c r="N41">
        <v>116</v>
      </c>
    </row>
  </sheetData>
  <sortState xmlns:xlrd2="http://schemas.microsoft.com/office/spreadsheetml/2017/richdata2" ref="A2:Z68">
    <sortCondition ref="C1"/>
  </sortState>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
  <dimension ref="A1:R37"/>
  <sheetViews>
    <sheetView topLeftCell="U1" workbookViewId="0">
      <selection activeCell="X3" sqref="X3"/>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3.7265625" customWidth="1"/>
    <col min="20" max="20" width="19.453125" customWidth="1"/>
    <col min="21" max="21" width="23.36328125" customWidth="1"/>
    <col min="22" max="22" width="18.26953125" customWidth="1"/>
    <col min="23" max="23" width="22.453125" customWidth="1"/>
    <col min="24" max="24" width="22.26953125" customWidth="1"/>
    <col min="25" max="25" width="26" customWidth="1"/>
    <col min="26" max="26" width="23.453125" customWidth="1"/>
    <col min="27" max="27" width="25.726562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43393</v>
      </c>
      <c r="C2" t="s">
        <v>243</v>
      </c>
      <c r="D2" t="s">
        <v>267</v>
      </c>
      <c r="E2">
        <v>25</v>
      </c>
      <c r="F2">
        <v>27</v>
      </c>
      <c r="G2">
        <v>60</v>
      </c>
      <c r="H2">
        <v>58</v>
      </c>
      <c r="I2">
        <v>85</v>
      </c>
      <c r="J2">
        <v>84</v>
      </c>
      <c r="K2">
        <v>118</v>
      </c>
      <c r="L2">
        <v>116</v>
      </c>
      <c r="M2">
        <v>118</v>
      </c>
      <c r="N2">
        <v>116</v>
      </c>
    </row>
    <row r="3" spans="1:18">
      <c r="A3">
        <v>6</v>
      </c>
      <c r="B3" s="68">
        <v>43403</v>
      </c>
      <c r="C3" t="s">
        <v>243</v>
      </c>
      <c r="D3" t="s">
        <v>240</v>
      </c>
      <c r="E3">
        <v>28</v>
      </c>
      <c r="F3">
        <v>31</v>
      </c>
      <c r="G3">
        <v>58</v>
      </c>
      <c r="H3">
        <v>56</v>
      </c>
      <c r="I3">
        <v>71</v>
      </c>
      <c r="J3">
        <v>81</v>
      </c>
      <c r="K3">
        <v>105</v>
      </c>
      <c r="L3">
        <v>108</v>
      </c>
      <c r="M3">
        <v>105</v>
      </c>
      <c r="N3">
        <v>108</v>
      </c>
    </row>
    <row r="4" spans="1:18">
      <c r="A4">
        <v>7</v>
      </c>
      <c r="B4" s="68">
        <v>43404</v>
      </c>
      <c r="C4" t="s">
        <v>243</v>
      </c>
      <c r="D4" t="s">
        <v>247</v>
      </c>
      <c r="E4">
        <v>22</v>
      </c>
      <c r="F4">
        <v>28</v>
      </c>
      <c r="G4">
        <v>60</v>
      </c>
      <c r="H4">
        <v>54</v>
      </c>
      <c r="I4">
        <v>83</v>
      </c>
      <c r="J4">
        <v>77</v>
      </c>
      <c r="K4">
        <v>110</v>
      </c>
      <c r="L4">
        <v>110</v>
      </c>
      <c r="M4">
        <v>119</v>
      </c>
      <c r="N4">
        <v>120</v>
      </c>
      <c r="O4">
        <v>119</v>
      </c>
      <c r="P4">
        <v>120</v>
      </c>
    </row>
    <row r="5" spans="1:18">
      <c r="A5">
        <v>8</v>
      </c>
      <c r="B5" s="68">
        <v>43407</v>
      </c>
      <c r="C5" t="s">
        <v>243</v>
      </c>
      <c r="D5" t="s">
        <v>239</v>
      </c>
      <c r="E5">
        <v>24</v>
      </c>
      <c r="F5">
        <v>30</v>
      </c>
      <c r="G5">
        <v>47</v>
      </c>
      <c r="H5">
        <v>69</v>
      </c>
      <c r="I5">
        <v>72</v>
      </c>
      <c r="J5">
        <v>85</v>
      </c>
      <c r="K5">
        <v>99</v>
      </c>
      <c r="L5">
        <v>109</v>
      </c>
      <c r="M5">
        <v>99</v>
      </c>
      <c r="N5">
        <v>109</v>
      </c>
    </row>
    <row r="6" spans="1:18">
      <c r="A6">
        <v>10</v>
      </c>
      <c r="B6" s="68">
        <v>43411</v>
      </c>
      <c r="C6" t="s">
        <v>243</v>
      </c>
      <c r="D6" t="s">
        <v>252</v>
      </c>
      <c r="E6">
        <v>26</v>
      </c>
      <c r="F6">
        <v>31</v>
      </c>
      <c r="G6">
        <v>58</v>
      </c>
      <c r="H6">
        <v>51</v>
      </c>
      <c r="I6">
        <v>78</v>
      </c>
      <c r="J6">
        <v>80</v>
      </c>
      <c r="K6">
        <v>103</v>
      </c>
      <c r="L6">
        <v>96</v>
      </c>
      <c r="M6">
        <v>103</v>
      </c>
      <c r="N6">
        <v>96</v>
      </c>
    </row>
    <row r="7" spans="1:18">
      <c r="A7">
        <v>11</v>
      </c>
      <c r="B7" s="68">
        <v>43413</v>
      </c>
      <c r="C7" t="s">
        <v>243</v>
      </c>
      <c r="D7" t="s">
        <v>253</v>
      </c>
      <c r="E7">
        <v>40</v>
      </c>
      <c r="F7">
        <v>20</v>
      </c>
      <c r="G7">
        <v>74</v>
      </c>
      <c r="H7">
        <v>51</v>
      </c>
      <c r="I7">
        <v>103</v>
      </c>
      <c r="J7">
        <v>77</v>
      </c>
      <c r="K7">
        <v>124</v>
      </c>
      <c r="L7">
        <v>109</v>
      </c>
      <c r="M7">
        <v>124</v>
      </c>
      <c r="N7">
        <v>109</v>
      </c>
    </row>
    <row r="8" spans="1:18">
      <c r="A8">
        <v>13</v>
      </c>
      <c r="B8" s="68">
        <v>43418</v>
      </c>
      <c r="C8" t="s">
        <v>243</v>
      </c>
      <c r="D8" t="s">
        <v>256</v>
      </c>
      <c r="E8">
        <v>26</v>
      </c>
      <c r="F8">
        <v>31</v>
      </c>
      <c r="G8">
        <v>53</v>
      </c>
      <c r="H8">
        <v>65</v>
      </c>
      <c r="I8">
        <v>77</v>
      </c>
      <c r="J8">
        <v>88</v>
      </c>
      <c r="K8">
        <v>106</v>
      </c>
      <c r="L8">
        <v>104</v>
      </c>
      <c r="M8">
        <v>106</v>
      </c>
      <c r="N8">
        <v>104</v>
      </c>
    </row>
    <row r="9" spans="1:18">
      <c r="A9">
        <v>15</v>
      </c>
      <c r="B9" s="68">
        <v>43425</v>
      </c>
      <c r="C9" t="s">
        <v>243</v>
      </c>
      <c r="D9" t="s">
        <v>258</v>
      </c>
      <c r="E9">
        <v>29</v>
      </c>
      <c r="F9">
        <v>31</v>
      </c>
      <c r="G9">
        <v>57</v>
      </c>
      <c r="H9">
        <v>56</v>
      </c>
      <c r="I9">
        <v>83</v>
      </c>
      <c r="J9">
        <v>93</v>
      </c>
      <c r="K9">
        <v>124</v>
      </c>
      <c r="L9">
        <v>126</v>
      </c>
      <c r="M9">
        <v>124</v>
      </c>
      <c r="N9">
        <v>126</v>
      </c>
    </row>
    <row r="10" spans="1:18">
      <c r="A10">
        <v>22</v>
      </c>
      <c r="B10" s="68">
        <v>43439</v>
      </c>
      <c r="C10" t="s">
        <v>243</v>
      </c>
      <c r="D10" t="s">
        <v>245</v>
      </c>
      <c r="E10">
        <v>21</v>
      </c>
      <c r="F10">
        <v>30</v>
      </c>
      <c r="G10">
        <v>45</v>
      </c>
      <c r="H10">
        <v>56</v>
      </c>
      <c r="I10">
        <v>64</v>
      </c>
      <c r="J10">
        <v>84</v>
      </c>
      <c r="K10">
        <v>92</v>
      </c>
      <c r="L10">
        <v>115</v>
      </c>
      <c r="M10">
        <v>92</v>
      </c>
      <c r="N10">
        <v>115</v>
      </c>
    </row>
    <row r="11" spans="1:18">
      <c r="A11">
        <v>25</v>
      </c>
      <c r="B11" s="68">
        <v>43444</v>
      </c>
      <c r="C11" t="s">
        <v>243</v>
      </c>
      <c r="D11" t="s">
        <v>239</v>
      </c>
      <c r="E11">
        <v>29</v>
      </c>
      <c r="F11">
        <v>38</v>
      </c>
      <c r="G11">
        <v>47</v>
      </c>
      <c r="H11">
        <v>56</v>
      </c>
      <c r="I11">
        <v>76</v>
      </c>
      <c r="J11">
        <v>87</v>
      </c>
      <c r="K11">
        <v>102</v>
      </c>
      <c r="L11">
        <v>116</v>
      </c>
      <c r="M11">
        <v>102</v>
      </c>
      <c r="N11">
        <v>116</v>
      </c>
    </row>
    <row r="12" spans="1:18">
      <c r="A12">
        <v>26</v>
      </c>
      <c r="B12" s="68">
        <v>43446</v>
      </c>
      <c r="C12" t="s">
        <v>243</v>
      </c>
      <c r="D12" t="s">
        <v>246</v>
      </c>
      <c r="E12">
        <v>25</v>
      </c>
      <c r="F12">
        <v>37</v>
      </c>
      <c r="G12">
        <v>55</v>
      </c>
      <c r="H12">
        <v>60</v>
      </c>
      <c r="I12">
        <v>93</v>
      </c>
      <c r="J12">
        <v>82</v>
      </c>
      <c r="K12">
        <v>107</v>
      </c>
      <c r="L12">
        <v>108</v>
      </c>
      <c r="M12">
        <v>107</v>
      </c>
      <c r="N12">
        <v>108</v>
      </c>
    </row>
    <row r="13" spans="1:18">
      <c r="A13">
        <v>29</v>
      </c>
      <c r="B13" s="68">
        <v>43453</v>
      </c>
      <c r="C13" t="s">
        <v>243</v>
      </c>
      <c r="D13" t="s">
        <v>259</v>
      </c>
      <c r="E13">
        <v>27</v>
      </c>
      <c r="F13">
        <v>26</v>
      </c>
      <c r="G13">
        <v>53</v>
      </c>
      <c r="H13">
        <v>62</v>
      </c>
      <c r="I13">
        <v>78</v>
      </c>
      <c r="J13">
        <v>92</v>
      </c>
      <c r="K13">
        <v>118</v>
      </c>
      <c r="L13">
        <v>118</v>
      </c>
      <c r="M13">
        <v>129</v>
      </c>
      <c r="N13">
        <v>123</v>
      </c>
      <c r="O13">
        <v>129</v>
      </c>
      <c r="P13">
        <v>123</v>
      </c>
    </row>
    <row r="14" spans="1:18">
      <c r="A14">
        <v>30</v>
      </c>
      <c r="B14" s="68">
        <v>43455</v>
      </c>
      <c r="C14" t="s">
        <v>243</v>
      </c>
      <c r="D14" t="s">
        <v>246</v>
      </c>
      <c r="E14">
        <v>21</v>
      </c>
      <c r="F14">
        <v>25</v>
      </c>
      <c r="G14">
        <v>40</v>
      </c>
      <c r="H14">
        <v>45</v>
      </c>
      <c r="I14">
        <v>65</v>
      </c>
      <c r="J14">
        <v>75</v>
      </c>
      <c r="K14">
        <v>86</v>
      </c>
      <c r="L14">
        <v>98</v>
      </c>
      <c r="M14">
        <v>86</v>
      </c>
      <c r="N14">
        <v>98</v>
      </c>
    </row>
    <row r="15" spans="1:18">
      <c r="A15">
        <v>33</v>
      </c>
      <c r="B15" s="68">
        <v>43462</v>
      </c>
      <c r="C15" t="s">
        <v>243</v>
      </c>
      <c r="D15" t="s">
        <v>250</v>
      </c>
      <c r="E15">
        <v>21</v>
      </c>
      <c r="F15">
        <v>32</v>
      </c>
      <c r="G15">
        <v>45</v>
      </c>
      <c r="H15">
        <v>58</v>
      </c>
      <c r="I15">
        <v>69</v>
      </c>
      <c r="J15">
        <v>91</v>
      </c>
      <c r="K15">
        <v>88</v>
      </c>
      <c r="L15">
        <v>125</v>
      </c>
      <c r="M15">
        <v>88</v>
      </c>
      <c r="N15">
        <v>125</v>
      </c>
    </row>
    <row r="16" spans="1:18">
      <c r="A16">
        <v>34</v>
      </c>
      <c r="B16" s="68">
        <v>43464</v>
      </c>
      <c r="C16" t="s">
        <v>243</v>
      </c>
      <c r="D16" t="s">
        <v>252</v>
      </c>
      <c r="E16">
        <v>21</v>
      </c>
      <c r="F16">
        <v>31</v>
      </c>
      <c r="G16">
        <v>59</v>
      </c>
      <c r="H16">
        <v>62</v>
      </c>
      <c r="I16">
        <v>83</v>
      </c>
      <c r="J16">
        <v>85</v>
      </c>
      <c r="K16">
        <v>107</v>
      </c>
      <c r="L16">
        <v>109</v>
      </c>
      <c r="M16">
        <v>107</v>
      </c>
      <c r="N16">
        <v>109</v>
      </c>
    </row>
    <row r="17" spans="1:16">
      <c r="A17">
        <v>35</v>
      </c>
      <c r="B17" s="68">
        <v>43466</v>
      </c>
      <c r="C17" t="s">
        <v>243</v>
      </c>
      <c r="D17" t="s">
        <v>245</v>
      </c>
      <c r="E17">
        <v>27</v>
      </c>
      <c r="F17">
        <v>35</v>
      </c>
      <c r="G17">
        <v>52</v>
      </c>
      <c r="H17">
        <v>68</v>
      </c>
      <c r="I17">
        <v>73</v>
      </c>
      <c r="J17">
        <v>92</v>
      </c>
      <c r="K17">
        <v>98</v>
      </c>
      <c r="L17">
        <v>121</v>
      </c>
      <c r="M17">
        <v>98</v>
      </c>
      <c r="N17">
        <v>121</v>
      </c>
    </row>
    <row r="18" spans="1:16">
      <c r="A18">
        <v>36</v>
      </c>
      <c r="B18" s="68">
        <v>43467</v>
      </c>
      <c r="C18" t="s">
        <v>243</v>
      </c>
      <c r="D18" t="s">
        <v>249</v>
      </c>
      <c r="E18">
        <v>26</v>
      </c>
      <c r="F18">
        <v>24</v>
      </c>
      <c r="G18">
        <v>51</v>
      </c>
      <c r="H18">
        <v>55</v>
      </c>
      <c r="I18">
        <v>72</v>
      </c>
      <c r="J18">
        <v>67</v>
      </c>
      <c r="K18">
        <v>101</v>
      </c>
      <c r="L18">
        <v>94</v>
      </c>
      <c r="M18">
        <v>101</v>
      </c>
      <c r="N18">
        <v>94</v>
      </c>
    </row>
    <row r="19" spans="1:16">
      <c r="A19">
        <v>1</v>
      </c>
      <c r="B19" s="68">
        <v>43390</v>
      </c>
      <c r="C19" t="s">
        <v>244</v>
      </c>
      <c r="D19" t="s">
        <v>247</v>
      </c>
      <c r="E19">
        <v>24</v>
      </c>
      <c r="F19">
        <v>29</v>
      </c>
      <c r="G19">
        <v>51</v>
      </c>
      <c r="H19">
        <v>51</v>
      </c>
      <c r="I19">
        <v>83</v>
      </c>
      <c r="J19">
        <v>76</v>
      </c>
      <c r="K19">
        <v>103</v>
      </c>
      <c r="L19">
        <v>100</v>
      </c>
      <c r="M19">
        <v>103</v>
      </c>
      <c r="N19">
        <v>100</v>
      </c>
    </row>
    <row r="20" spans="1:16">
      <c r="A20">
        <v>3</v>
      </c>
      <c r="B20" s="68">
        <v>43396</v>
      </c>
      <c r="C20" t="s">
        <v>244</v>
      </c>
      <c r="D20" t="s">
        <v>239</v>
      </c>
      <c r="E20">
        <v>27</v>
      </c>
      <c r="F20">
        <v>28</v>
      </c>
      <c r="G20">
        <v>61</v>
      </c>
      <c r="H20">
        <v>64</v>
      </c>
      <c r="I20">
        <v>87</v>
      </c>
      <c r="J20">
        <v>94</v>
      </c>
      <c r="K20">
        <v>120</v>
      </c>
      <c r="L20">
        <v>120</v>
      </c>
      <c r="M20">
        <v>133</v>
      </c>
      <c r="N20">
        <v>132</v>
      </c>
      <c r="O20">
        <v>133</v>
      </c>
      <c r="P20">
        <v>132</v>
      </c>
    </row>
    <row r="21" spans="1:16">
      <c r="A21">
        <v>4</v>
      </c>
      <c r="B21" s="68">
        <v>43398</v>
      </c>
      <c r="C21" t="s">
        <v>244</v>
      </c>
      <c r="D21" t="s">
        <v>255</v>
      </c>
      <c r="E21">
        <v>30</v>
      </c>
      <c r="F21">
        <v>27</v>
      </c>
      <c r="G21">
        <v>58</v>
      </c>
      <c r="H21">
        <v>50</v>
      </c>
      <c r="I21">
        <v>80</v>
      </c>
      <c r="J21">
        <v>68</v>
      </c>
      <c r="K21">
        <v>110</v>
      </c>
      <c r="L21">
        <v>103</v>
      </c>
      <c r="M21">
        <v>110</v>
      </c>
      <c r="N21">
        <v>103</v>
      </c>
    </row>
    <row r="22" spans="1:16">
      <c r="A22">
        <v>5</v>
      </c>
      <c r="B22" s="68">
        <v>43400</v>
      </c>
      <c r="C22" t="s">
        <v>244</v>
      </c>
      <c r="D22" t="s">
        <v>240</v>
      </c>
      <c r="E22">
        <v>21</v>
      </c>
      <c r="F22">
        <v>30</v>
      </c>
      <c r="G22">
        <v>41</v>
      </c>
      <c r="H22">
        <v>63</v>
      </c>
      <c r="I22">
        <v>67</v>
      </c>
      <c r="J22">
        <v>84</v>
      </c>
      <c r="K22">
        <v>89</v>
      </c>
      <c r="L22">
        <v>109</v>
      </c>
      <c r="M22">
        <v>89</v>
      </c>
      <c r="N22">
        <v>109</v>
      </c>
    </row>
    <row r="23" spans="1:16">
      <c r="A23">
        <v>9</v>
      </c>
      <c r="B23" s="68">
        <v>43409</v>
      </c>
      <c r="C23" t="s">
        <v>244</v>
      </c>
      <c r="D23" t="s">
        <v>251</v>
      </c>
      <c r="E23">
        <v>27</v>
      </c>
      <c r="F23">
        <v>28</v>
      </c>
      <c r="G23">
        <v>53</v>
      </c>
      <c r="H23">
        <v>53</v>
      </c>
      <c r="I23">
        <v>80</v>
      </c>
      <c r="J23">
        <v>87</v>
      </c>
      <c r="K23">
        <v>105</v>
      </c>
      <c r="L23">
        <v>105</v>
      </c>
      <c r="M23">
        <v>115</v>
      </c>
      <c r="N23">
        <v>120</v>
      </c>
      <c r="O23">
        <v>115</v>
      </c>
      <c r="P23">
        <v>120</v>
      </c>
    </row>
    <row r="24" spans="1:16">
      <c r="A24">
        <v>12</v>
      </c>
      <c r="B24" s="68">
        <v>43415</v>
      </c>
      <c r="C24" t="s">
        <v>244</v>
      </c>
      <c r="D24" t="s">
        <v>246</v>
      </c>
      <c r="E24">
        <v>27</v>
      </c>
      <c r="F24">
        <v>24</v>
      </c>
      <c r="G24">
        <v>49</v>
      </c>
      <c r="H24">
        <v>51</v>
      </c>
      <c r="I24">
        <v>75</v>
      </c>
      <c r="J24">
        <v>83</v>
      </c>
      <c r="K24">
        <v>103</v>
      </c>
      <c r="L24">
        <v>113</v>
      </c>
      <c r="M24">
        <v>103</v>
      </c>
      <c r="N24">
        <v>113</v>
      </c>
    </row>
    <row r="25" spans="1:16">
      <c r="A25">
        <v>14</v>
      </c>
      <c r="B25" s="68">
        <v>43423</v>
      </c>
      <c r="C25" t="s">
        <v>244</v>
      </c>
      <c r="D25" t="s">
        <v>255</v>
      </c>
      <c r="E25">
        <v>38</v>
      </c>
      <c r="F25">
        <v>27</v>
      </c>
      <c r="G25">
        <v>66</v>
      </c>
      <c r="H25">
        <v>46</v>
      </c>
      <c r="I25">
        <v>93</v>
      </c>
      <c r="J25">
        <v>69</v>
      </c>
      <c r="K25">
        <v>113</v>
      </c>
      <c r="L25">
        <v>102</v>
      </c>
      <c r="M25">
        <v>113</v>
      </c>
      <c r="N25">
        <v>102</v>
      </c>
    </row>
    <row r="26" spans="1:16">
      <c r="A26">
        <v>16</v>
      </c>
      <c r="B26" s="68">
        <v>43427</v>
      </c>
      <c r="C26" t="s">
        <v>244</v>
      </c>
      <c r="D26" t="s">
        <v>258</v>
      </c>
      <c r="E26">
        <v>34</v>
      </c>
      <c r="F26">
        <v>30</v>
      </c>
      <c r="G26">
        <v>61</v>
      </c>
      <c r="H26">
        <v>56</v>
      </c>
      <c r="I26">
        <v>78</v>
      </c>
      <c r="J26">
        <v>79</v>
      </c>
      <c r="K26">
        <v>98</v>
      </c>
      <c r="L26">
        <v>98</v>
      </c>
      <c r="M26">
        <v>116</v>
      </c>
      <c r="N26">
        <v>111</v>
      </c>
      <c r="O26">
        <v>116</v>
      </c>
      <c r="P26">
        <v>111</v>
      </c>
    </row>
    <row r="27" spans="1:16">
      <c r="A27">
        <v>17</v>
      </c>
      <c r="B27" s="68">
        <v>43429</v>
      </c>
      <c r="C27" t="s">
        <v>244</v>
      </c>
      <c r="D27" t="s">
        <v>266</v>
      </c>
      <c r="E27">
        <v>27</v>
      </c>
      <c r="F27">
        <v>32</v>
      </c>
      <c r="G27">
        <v>62</v>
      </c>
      <c r="H27">
        <v>60</v>
      </c>
      <c r="I27">
        <v>83</v>
      </c>
      <c r="J27">
        <v>84</v>
      </c>
      <c r="K27">
        <v>118</v>
      </c>
      <c r="L27">
        <v>107</v>
      </c>
      <c r="M27">
        <v>118</v>
      </c>
      <c r="N27">
        <v>107</v>
      </c>
    </row>
    <row r="28" spans="1:16">
      <c r="A28">
        <v>18</v>
      </c>
      <c r="B28" s="68">
        <v>43431</v>
      </c>
      <c r="C28" t="s">
        <v>244</v>
      </c>
      <c r="D28" t="s">
        <v>254</v>
      </c>
      <c r="E28">
        <v>24</v>
      </c>
      <c r="F28">
        <v>19</v>
      </c>
      <c r="G28">
        <v>51</v>
      </c>
      <c r="H28">
        <v>43</v>
      </c>
      <c r="I28">
        <v>81</v>
      </c>
      <c r="J28">
        <v>70</v>
      </c>
      <c r="K28">
        <v>115</v>
      </c>
      <c r="L28">
        <v>108</v>
      </c>
      <c r="M28">
        <v>115</v>
      </c>
      <c r="N28">
        <v>108</v>
      </c>
    </row>
    <row r="29" spans="1:16">
      <c r="A29">
        <v>19</v>
      </c>
      <c r="B29" s="68">
        <v>43434</v>
      </c>
      <c r="C29" t="s">
        <v>244</v>
      </c>
      <c r="D29" t="s">
        <v>267</v>
      </c>
      <c r="E29">
        <v>34</v>
      </c>
      <c r="F29">
        <v>21</v>
      </c>
      <c r="G29">
        <v>55</v>
      </c>
      <c r="H29">
        <v>40</v>
      </c>
      <c r="I29">
        <v>79</v>
      </c>
      <c r="J29">
        <v>65</v>
      </c>
      <c r="K29">
        <v>107</v>
      </c>
      <c r="L29">
        <v>88</v>
      </c>
      <c r="M29">
        <v>107</v>
      </c>
      <c r="N29">
        <v>88</v>
      </c>
    </row>
    <row r="30" spans="1:16">
      <c r="A30">
        <v>20</v>
      </c>
      <c r="B30" s="68">
        <v>43435</v>
      </c>
      <c r="C30" t="s">
        <v>244</v>
      </c>
      <c r="D30" t="s">
        <v>242</v>
      </c>
      <c r="E30">
        <v>24</v>
      </c>
      <c r="F30">
        <v>24</v>
      </c>
      <c r="G30">
        <v>54</v>
      </c>
      <c r="H30">
        <v>46</v>
      </c>
      <c r="I30">
        <v>85</v>
      </c>
      <c r="J30">
        <v>78</v>
      </c>
      <c r="K30">
        <v>111</v>
      </c>
      <c r="L30">
        <v>102</v>
      </c>
      <c r="M30">
        <v>111</v>
      </c>
      <c r="N30">
        <v>102</v>
      </c>
    </row>
    <row r="31" spans="1:16">
      <c r="A31">
        <v>21</v>
      </c>
      <c r="B31" s="68">
        <v>43437</v>
      </c>
      <c r="C31" t="s">
        <v>244</v>
      </c>
      <c r="D31" t="s">
        <v>241</v>
      </c>
      <c r="E31">
        <v>17</v>
      </c>
      <c r="F31">
        <v>26</v>
      </c>
      <c r="G31">
        <v>40</v>
      </c>
      <c r="H31">
        <v>50</v>
      </c>
      <c r="I31">
        <v>59</v>
      </c>
      <c r="J31">
        <v>87</v>
      </c>
      <c r="K31">
        <v>83</v>
      </c>
      <c r="L31">
        <v>110</v>
      </c>
      <c r="M31">
        <v>83</v>
      </c>
      <c r="N31">
        <v>110</v>
      </c>
    </row>
    <row r="32" spans="1:16">
      <c r="A32">
        <v>23</v>
      </c>
      <c r="B32" s="68">
        <v>43441</v>
      </c>
      <c r="C32" t="s">
        <v>244</v>
      </c>
      <c r="D32" t="s">
        <v>239</v>
      </c>
      <c r="E32">
        <v>27</v>
      </c>
      <c r="F32">
        <v>28</v>
      </c>
      <c r="G32">
        <v>68</v>
      </c>
      <c r="H32">
        <v>56</v>
      </c>
      <c r="I32">
        <v>90</v>
      </c>
      <c r="J32">
        <v>89</v>
      </c>
      <c r="K32">
        <v>111</v>
      </c>
      <c r="L32">
        <v>117</v>
      </c>
      <c r="M32">
        <v>111</v>
      </c>
      <c r="N32">
        <v>117</v>
      </c>
    </row>
    <row r="33" spans="1:14">
      <c r="A33">
        <v>24</v>
      </c>
      <c r="B33" s="68">
        <v>43443</v>
      </c>
      <c r="C33" t="s">
        <v>244</v>
      </c>
      <c r="D33" t="s">
        <v>257</v>
      </c>
      <c r="E33">
        <v>20</v>
      </c>
      <c r="F33">
        <v>28</v>
      </c>
      <c r="G33">
        <v>50</v>
      </c>
      <c r="H33">
        <v>56</v>
      </c>
      <c r="I33">
        <v>84</v>
      </c>
      <c r="J33">
        <v>91</v>
      </c>
      <c r="K33">
        <v>108</v>
      </c>
      <c r="L33">
        <v>116</v>
      </c>
      <c r="M33">
        <v>108</v>
      </c>
      <c r="N33">
        <v>116</v>
      </c>
    </row>
    <row r="34" spans="1:14">
      <c r="A34">
        <v>27</v>
      </c>
      <c r="B34" s="68">
        <v>43449</v>
      </c>
      <c r="C34" t="s">
        <v>244</v>
      </c>
      <c r="D34" t="s">
        <v>240</v>
      </c>
      <c r="E34">
        <v>33</v>
      </c>
      <c r="F34">
        <v>33</v>
      </c>
      <c r="G34">
        <v>57</v>
      </c>
      <c r="H34">
        <v>56</v>
      </c>
      <c r="I34">
        <v>85</v>
      </c>
      <c r="J34">
        <v>78</v>
      </c>
      <c r="K34">
        <v>113</v>
      </c>
      <c r="L34">
        <v>104</v>
      </c>
      <c r="M34">
        <v>113</v>
      </c>
      <c r="N34">
        <v>104</v>
      </c>
    </row>
    <row r="35" spans="1:14">
      <c r="A35">
        <v>28</v>
      </c>
      <c r="B35" s="68">
        <v>43451</v>
      </c>
      <c r="C35" t="s">
        <v>244</v>
      </c>
      <c r="D35" t="s">
        <v>245</v>
      </c>
      <c r="E35">
        <v>27</v>
      </c>
      <c r="F35">
        <v>25</v>
      </c>
      <c r="G35">
        <v>43</v>
      </c>
      <c r="H35">
        <v>55</v>
      </c>
      <c r="I35">
        <v>77</v>
      </c>
      <c r="J35">
        <v>81</v>
      </c>
      <c r="K35">
        <v>104</v>
      </c>
      <c r="L35">
        <v>107</v>
      </c>
      <c r="M35">
        <v>104</v>
      </c>
      <c r="N35">
        <v>107</v>
      </c>
    </row>
    <row r="36" spans="1:14">
      <c r="A36">
        <v>31</v>
      </c>
      <c r="B36" s="68">
        <v>43457</v>
      </c>
      <c r="C36" t="s">
        <v>244</v>
      </c>
      <c r="D36" t="s">
        <v>253</v>
      </c>
      <c r="E36">
        <v>21</v>
      </c>
      <c r="F36">
        <v>28</v>
      </c>
      <c r="G36">
        <v>43</v>
      </c>
      <c r="H36">
        <v>57</v>
      </c>
      <c r="I36">
        <v>66</v>
      </c>
      <c r="J36">
        <v>79</v>
      </c>
      <c r="K36">
        <v>95</v>
      </c>
      <c r="L36">
        <v>98</v>
      </c>
      <c r="M36">
        <v>95</v>
      </c>
      <c r="N36">
        <v>98</v>
      </c>
    </row>
    <row r="37" spans="1:14">
      <c r="A37">
        <v>32</v>
      </c>
      <c r="B37" s="68">
        <v>43460</v>
      </c>
      <c r="C37" t="s">
        <v>244</v>
      </c>
      <c r="D37" t="s">
        <v>268</v>
      </c>
      <c r="E37">
        <v>27</v>
      </c>
      <c r="F37">
        <v>28</v>
      </c>
      <c r="G37">
        <v>54</v>
      </c>
      <c r="H37">
        <v>55</v>
      </c>
      <c r="I37">
        <v>85</v>
      </c>
      <c r="J37">
        <v>72</v>
      </c>
      <c r="K37">
        <v>106</v>
      </c>
      <c r="L37">
        <v>95</v>
      </c>
      <c r="M37">
        <v>106</v>
      </c>
      <c r="N37">
        <v>95</v>
      </c>
    </row>
  </sheetData>
  <sortState xmlns:xlrd2="http://schemas.microsoft.com/office/spreadsheetml/2017/richdata2" ref="A2:R61">
    <sortCondition ref="C1"/>
  </sortState>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R39"/>
  <sheetViews>
    <sheetView topLeftCell="S1" workbookViewId="0">
      <selection activeCell="S5" sqref="S5"/>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4.1796875" customWidth="1"/>
    <col min="20" max="20" width="19.36328125" customWidth="1"/>
    <col min="21" max="21" width="25" customWidth="1"/>
    <col min="22" max="22" width="18.81640625" customWidth="1"/>
    <col min="23" max="23" width="23.1796875" customWidth="1"/>
    <col min="24" max="24" width="19.81640625" customWidth="1"/>
    <col min="25" max="25" width="23.36328125" customWidth="1"/>
    <col min="26" max="26" width="22.81640625" customWidth="1"/>
    <col min="27" max="27" width="25.632812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43392</v>
      </c>
      <c r="C2" t="s">
        <v>243</v>
      </c>
      <c r="D2" t="s">
        <v>247</v>
      </c>
      <c r="E2">
        <v>24</v>
      </c>
      <c r="F2">
        <v>33</v>
      </c>
      <c r="G2">
        <v>50</v>
      </c>
      <c r="H2">
        <v>57</v>
      </c>
      <c r="I2">
        <v>76</v>
      </c>
      <c r="J2">
        <v>74</v>
      </c>
      <c r="K2">
        <v>105</v>
      </c>
      <c r="L2">
        <v>107</v>
      </c>
      <c r="M2">
        <v>105</v>
      </c>
      <c r="N2">
        <v>107</v>
      </c>
    </row>
    <row r="3" spans="1:18">
      <c r="A3">
        <v>4</v>
      </c>
      <c r="B3" s="68">
        <v>43395</v>
      </c>
      <c r="C3" t="s">
        <v>243</v>
      </c>
      <c r="D3" t="s">
        <v>245</v>
      </c>
      <c r="E3">
        <v>29</v>
      </c>
      <c r="F3">
        <v>33</v>
      </c>
      <c r="G3">
        <v>52</v>
      </c>
      <c r="H3">
        <v>71</v>
      </c>
      <c r="I3">
        <v>87</v>
      </c>
      <c r="J3">
        <v>88</v>
      </c>
      <c r="K3">
        <v>113</v>
      </c>
      <c r="L3">
        <v>124</v>
      </c>
      <c r="M3">
        <v>113</v>
      </c>
      <c r="N3">
        <v>124</v>
      </c>
    </row>
    <row r="4" spans="1:18">
      <c r="A4">
        <v>5</v>
      </c>
      <c r="B4" s="68">
        <v>43397</v>
      </c>
      <c r="C4" t="s">
        <v>243</v>
      </c>
      <c r="D4" t="s">
        <v>251</v>
      </c>
      <c r="E4">
        <v>27</v>
      </c>
      <c r="F4">
        <v>16</v>
      </c>
      <c r="G4">
        <v>45</v>
      </c>
      <c r="H4">
        <v>47</v>
      </c>
      <c r="I4">
        <v>65</v>
      </c>
      <c r="J4">
        <v>92</v>
      </c>
      <c r="K4">
        <v>87</v>
      </c>
      <c r="L4">
        <v>110</v>
      </c>
      <c r="M4">
        <v>87</v>
      </c>
      <c r="N4">
        <v>110</v>
      </c>
    </row>
    <row r="5" spans="1:18">
      <c r="A5">
        <v>9</v>
      </c>
      <c r="B5" s="68">
        <v>43406</v>
      </c>
      <c r="C5" t="s">
        <v>243</v>
      </c>
      <c r="D5" t="s">
        <v>265</v>
      </c>
      <c r="E5">
        <v>33</v>
      </c>
      <c r="F5">
        <v>27</v>
      </c>
      <c r="G5">
        <v>56</v>
      </c>
      <c r="H5">
        <v>59</v>
      </c>
      <c r="I5">
        <v>89</v>
      </c>
      <c r="J5">
        <v>77</v>
      </c>
      <c r="K5">
        <v>118</v>
      </c>
      <c r="L5">
        <v>106</v>
      </c>
      <c r="M5">
        <v>118</v>
      </c>
      <c r="N5">
        <v>106</v>
      </c>
    </row>
    <row r="6" spans="1:18">
      <c r="A6">
        <v>10</v>
      </c>
      <c r="B6" s="68">
        <v>43408</v>
      </c>
      <c r="C6" t="s">
        <v>243</v>
      </c>
      <c r="D6" t="s">
        <v>268</v>
      </c>
      <c r="E6">
        <v>17</v>
      </c>
      <c r="F6">
        <v>24</v>
      </c>
      <c r="G6">
        <v>50</v>
      </c>
      <c r="H6">
        <v>58</v>
      </c>
      <c r="I6">
        <v>78</v>
      </c>
      <c r="J6">
        <v>81</v>
      </c>
      <c r="K6">
        <v>95</v>
      </c>
      <c r="L6">
        <v>108</v>
      </c>
      <c r="M6">
        <v>95</v>
      </c>
      <c r="N6">
        <v>108</v>
      </c>
    </row>
    <row r="7" spans="1:18">
      <c r="A7">
        <v>12</v>
      </c>
      <c r="B7" s="68">
        <v>43411</v>
      </c>
      <c r="C7" t="s">
        <v>243</v>
      </c>
      <c r="D7" t="s">
        <v>253</v>
      </c>
      <c r="E7">
        <v>26</v>
      </c>
      <c r="F7">
        <v>26</v>
      </c>
      <c r="G7">
        <v>52</v>
      </c>
      <c r="H7">
        <v>55</v>
      </c>
      <c r="I7">
        <v>87</v>
      </c>
      <c r="J7">
        <v>73</v>
      </c>
      <c r="K7">
        <v>112</v>
      </c>
      <c r="L7">
        <v>107</v>
      </c>
      <c r="M7">
        <v>112</v>
      </c>
      <c r="N7">
        <v>107</v>
      </c>
    </row>
    <row r="8" spans="1:18">
      <c r="A8">
        <v>13</v>
      </c>
      <c r="B8" s="68">
        <v>43414</v>
      </c>
      <c r="C8" t="s">
        <v>243</v>
      </c>
      <c r="D8" t="s">
        <v>256</v>
      </c>
      <c r="E8">
        <v>25</v>
      </c>
      <c r="F8">
        <v>25</v>
      </c>
      <c r="G8">
        <v>53</v>
      </c>
      <c r="H8">
        <v>64</v>
      </c>
      <c r="I8">
        <v>82</v>
      </c>
      <c r="J8">
        <v>100</v>
      </c>
      <c r="K8">
        <v>112</v>
      </c>
      <c r="L8">
        <v>128</v>
      </c>
      <c r="M8">
        <v>112</v>
      </c>
      <c r="N8">
        <v>128</v>
      </c>
    </row>
    <row r="9" spans="1:18">
      <c r="A9">
        <v>15</v>
      </c>
      <c r="B9" s="68">
        <v>43418</v>
      </c>
      <c r="C9" t="s">
        <v>243</v>
      </c>
      <c r="D9" t="s">
        <v>241</v>
      </c>
      <c r="E9">
        <v>22</v>
      </c>
      <c r="F9">
        <v>37</v>
      </c>
      <c r="G9">
        <v>49</v>
      </c>
      <c r="H9">
        <v>65</v>
      </c>
      <c r="I9">
        <v>80</v>
      </c>
      <c r="J9">
        <v>100</v>
      </c>
      <c r="K9">
        <v>103</v>
      </c>
      <c r="L9">
        <v>128</v>
      </c>
      <c r="M9">
        <v>103</v>
      </c>
      <c r="N9">
        <v>128</v>
      </c>
    </row>
    <row r="10" spans="1:18">
      <c r="A10">
        <v>16</v>
      </c>
      <c r="B10" s="68">
        <v>43420</v>
      </c>
      <c r="C10" t="s">
        <v>243</v>
      </c>
      <c r="D10" t="s">
        <v>257</v>
      </c>
      <c r="E10">
        <v>32</v>
      </c>
      <c r="F10">
        <v>16</v>
      </c>
      <c r="G10">
        <v>64</v>
      </c>
      <c r="H10">
        <v>54</v>
      </c>
      <c r="I10">
        <v>96</v>
      </c>
      <c r="J10">
        <v>88</v>
      </c>
      <c r="K10">
        <v>124</v>
      </c>
      <c r="L10">
        <v>129</v>
      </c>
      <c r="M10">
        <v>124</v>
      </c>
      <c r="N10">
        <v>129</v>
      </c>
    </row>
    <row r="11" spans="1:18">
      <c r="A11">
        <v>17</v>
      </c>
      <c r="B11" s="68">
        <v>43422</v>
      </c>
      <c r="C11" t="s">
        <v>243</v>
      </c>
      <c r="D11" t="s">
        <v>252</v>
      </c>
      <c r="E11">
        <v>31</v>
      </c>
      <c r="F11">
        <v>44</v>
      </c>
      <c r="G11">
        <v>66</v>
      </c>
      <c r="H11">
        <v>67</v>
      </c>
      <c r="I11">
        <v>92</v>
      </c>
      <c r="J11">
        <v>98</v>
      </c>
      <c r="K11">
        <v>117</v>
      </c>
      <c r="L11">
        <v>131</v>
      </c>
      <c r="M11">
        <v>117</v>
      </c>
      <c r="N11">
        <v>131</v>
      </c>
    </row>
    <row r="12" spans="1:18">
      <c r="A12">
        <v>19</v>
      </c>
      <c r="B12" s="68">
        <v>43425</v>
      </c>
      <c r="C12" t="s">
        <v>243</v>
      </c>
      <c r="D12" t="s">
        <v>240</v>
      </c>
      <c r="E12">
        <v>26</v>
      </c>
      <c r="F12">
        <v>18</v>
      </c>
      <c r="G12">
        <v>65</v>
      </c>
      <c r="H12">
        <v>49</v>
      </c>
      <c r="I12">
        <v>84</v>
      </c>
      <c r="J12">
        <v>69</v>
      </c>
      <c r="K12">
        <v>117</v>
      </c>
      <c r="L12">
        <v>109</v>
      </c>
      <c r="M12">
        <v>117</v>
      </c>
      <c r="N12">
        <v>109</v>
      </c>
    </row>
    <row r="13" spans="1:18">
      <c r="A13">
        <v>21</v>
      </c>
      <c r="B13" s="68">
        <v>43429</v>
      </c>
      <c r="C13" t="s">
        <v>243</v>
      </c>
      <c r="D13" t="s">
        <v>249</v>
      </c>
      <c r="E13">
        <v>21</v>
      </c>
      <c r="F13">
        <v>26</v>
      </c>
      <c r="G13">
        <v>43</v>
      </c>
      <c r="H13">
        <v>52</v>
      </c>
      <c r="I13">
        <v>78</v>
      </c>
      <c r="J13">
        <v>71</v>
      </c>
      <c r="K13">
        <v>103</v>
      </c>
      <c r="L13">
        <v>98</v>
      </c>
      <c r="M13">
        <v>103</v>
      </c>
      <c r="N13">
        <v>98</v>
      </c>
    </row>
    <row r="14" spans="1:18">
      <c r="A14">
        <v>22</v>
      </c>
      <c r="B14" s="68">
        <v>43431</v>
      </c>
      <c r="C14" t="s">
        <v>243</v>
      </c>
      <c r="D14" t="s">
        <v>248</v>
      </c>
      <c r="E14">
        <v>19</v>
      </c>
      <c r="F14">
        <v>24</v>
      </c>
      <c r="G14">
        <v>43</v>
      </c>
      <c r="H14">
        <v>51</v>
      </c>
      <c r="I14">
        <v>70</v>
      </c>
      <c r="J14">
        <v>81</v>
      </c>
      <c r="K14">
        <v>108</v>
      </c>
      <c r="L14">
        <v>115</v>
      </c>
      <c r="M14">
        <v>108</v>
      </c>
      <c r="N14">
        <v>115</v>
      </c>
    </row>
    <row r="15" spans="1:18">
      <c r="A15">
        <v>23</v>
      </c>
      <c r="B15" s="68">
        <v>43432</v>
      </c>
      <c r="C15" t="s">
        <v>243</v>
      </c>
      <c r="D15" t="s">
        <v>239</v>
      </c>
      <c r="E15">
        <v>27</v>
      </c>
      <c r="F15">
        <v>41</v>
      </c>
      <c r="G15">
        <v>48</v>
      </c>
      <c r="H15">
        <v>68</v>
      </c>
      <c r="I15">
        <v>68</v>
      </c>
      <c r="J15">
        <v>93</v>
      </c>
      <c r="K15">
        <v>91</v>
      </c>
      <c r="L15">
        <v>117</v>
      </c>
      <c r="M15">
        <v>91</v>
      </c>
      <c r="N15">
        <v>117</v>
      </c>
    </row>
    <row r="16" spans="1:18">
      <c r="A16">
        <v>26</v>
      </c>
      <c r="B16" s="68">
        <v>43440</v>
      </c>
      <c r="C16" t="s">
        <v>243</v>
      </c>
      <c r="D16" t="s">
        <v>240</v>
      </c>
      <c r="E16">
        <v>30</v>
      </c>
      <c r="F16">
        <v>38</v>
      </c>
      <c r="G16">
        <v>58</v>
      </c>
      <c r="H16">
        <v>69</v>
      </c>
      <c r="I16">
        <v>84</v>
      </c>
      <c r="J16">
        <v>99</v>
      </c>
      <c r="K16">
        <v>100</v>
      </c>
      <c r="L16">
        <v>128</v>
      </c>
      <c r="M16">
        <v>100</v>
      </c>
      <c r="N16">
        <v>128</v>
      </c>
    </row>
    <row r="17" spans="1:16">
      <c r="A17">
        <v>29</v>
      </c>
      <c r="B17" s="68">
        <v>43446</v>
      </c>
      <c r="C17" t="s">
        <v>243</v>
      </c>
      <c r="D17" t="s">
        <v>255</v>
      </c>
      <c r="E17">
        <v>23</v>
      </c>
      <c r="F17">
        <v>39</v>
      </c>
      <c r="G17">
        <v>54</v>
      </c>
      <c r="H17">
        <v>65</v>
      </c>
      <c r="I17">
        <v>86</v>
      </c>
      <c r="J17">
        <v>86</v>
      </c>
      <c r="K17">
        <v>106</v>
      </c>
      <c r="L17">
        <v>113</v>
      </c>
      <c r="M17">
        <v>106</v>
      </c>
      <c r="N17">
        <v>113</v>
      </c>
    </row>
    <row r="18" spans="1:16">
      <c r="A18">
        <v>30</v>
      </c>
      <c r="B18" s="68">
        <v>43448</v>
      </c>
      <c r="C18" t="s">
        <v>243</v>
      </c>
      <c r="D18" t="s">
        <v>246</v>
      </c>
      <c r="E18">
        <v>16</v>
      </c>
      <c r="F18">
        <v>33</v>
      </c>
      <c r="G18">
        <v>53</v>
      </c>
      <c r="H18">
        <v>72</v>
      </c>
      <c r="I18">
        <v>78</v>
      </c>
      <c r="J18">
        <v>93</v>
      </c>
      <c r="K18">
        <v>113</v>
      </c>
      <c r="L18">
        <v>113</v>
      </c>
      <c r="M18">
        <v>126</v>
      </c>
      <c r="N18">
        <v>124</v>
      </c>
      <c r="O18">
        <v>126</v>
      </c>
      <c r="P18">
        <v>124</v>
      </c>
    </row>
    <row r="19" spans="1:16">
      <c r="A19">
        <v>31</v>
      </c>
      <c r="B19" s="68">
        <v>43450</v>
      </c>
      <c r="C19" t="s">
        <v>243</v>
      </c>
      <c r="D19" t="s">
        <v>250</v>
      </c>
      <c r="E19">
        <v>26</v>
      </c>
      <c r="F19">
        <v>28</v>
      </c>
      <c r="G19">
        <v>53</v>
      </c>
      <c r="H19">
        <v>56</v>
      </c>
      <c r="I19">
        <v>73</v>
      </c>
      <c r="J19">
        <v>79</v>
      </c>
      <c r="K19">
        <v>99</v>
      </c>
      <c r="L19">
        <v>110</v>
      </c>
      <c r="M19">
        <v>99</v>
      </c>
      <c r="N19">
        <v>110</v>
      </c>
    </row>
    <row r="20" spans="1:16">
      <c r="A20">
        <v>33</v>
      </c>
      <c r="B20" s="68">
        <v>43453</v>
      </c>
      <c r="C20" t="s">
        <v>243</v>
      </c>
      <c r="D20" t="s">
        <v>239</v>
      </c>
      <c r="E20">
        <v>33</v>
      </c>
      <c r="F20">
        <v>38</v>
      </c>
      <c r="G20">
        <v>61</v>
      </c>
      <c r="H20">
        <v>69</v>
      </c>
      <c r="I20">
        <v>85</v>
      </c>
      <c r="J20">
        <v>99</v>
      </c>
      <c r="K20">
        <v>109</v>
      </c>
      <c r="L20">
        <v>131</v>
      </c>
      <c r="M20">
        <v>109</v>
      </c>
      <c r="N20">
        <v>131</v>
      </c>
    </row>
    <row r="21" spans="1:16">
      <c r="A21">
        <v>36</v>
      </c>
      <c r="B21" s="68">
        <v>43461</v>
      </c>
      <c r="C21" t="s">
        <v>243</v>
      </c>
      <c r="D21" t="s">
        <v>245</v>
      </c>
      <c r="E21">
        <v>28</v>
      </c>
      <c r="F21">
        <v>24</v>
      </c>
      <c r="G21">
        <v>48</v>
      </c>
      <c r="H21">
        <v>53</v>
      </c>
      <c r="I21">
        <v>77</v>
      </c>
      <c r="J21">
        <v>87</v>
      </c>
      <c r="K21">
        <v>96</v>
      </c>
      <c r="L21">
        <v>112</v>
      </c>
      <c r="M21">
        <v>96</v>
      </c>
      <c r="N21">
        <v>112</v>
      </c>
    </row>
    <row r="22" spans="1:16">
      <c r="A22">
        <v>37</v>
      </c>
      <c r="B22" s="68">
        <v>43463</v>
      </c>
      <c r="C22" t="s">
        <v>243</v>
      </c>
      <c r="D22" t="s">
        <v>261</v>
      </c>
      <c r="E22">
        <v>17</v>
      </c>
      <c r="F22">
        <v>39</v>
      </c>
      <c r="G22">
        <v>34</v>
      </c>
      <c r="H22">
        <v>71</v>
      </c>
      <c r="I22">
        <v>66</v>
      </c>
      <c r="J22">
        <v>97</v>
      </c>
      <c r="K22">
        <v>97</v>
      </c>
      <c r="L22">
        <v>129</v>
      </c>
      <c r="M22">
        <v>97</v>
      </c>
      <c r="N22">
        <v>129</v>
      </c>
    </row>
    <row r="23" spans="1:16">
      <c r="A23">
        <v>38</v>
      </c>
      <c r="B23" s="68">
        <v>43466</v>
      </c>
      <c r="C23" t="s">
        <v>243</v>
      </c>
      <c r="D23" t="s">
        <v>263</v>
      </c>
      <c r="E23">
        <v>32</v>
      </c>
      <c r="F23">
        <v>28</v>
      </c>
      <c r="G23">
        <v>56</v>
      </c>
      <c r="H23">
        <v>55</v>
      </c>
      <c r="I23">
        <v>84</v>
      </c>
      <c r="J23">
        <v>82</v>
      </c>
      <c r="K23">
        <v>108</v>
      </c>
      <c r="L23">
        <v>115</v>
      </c>
      <c r="M23">
        <v>108</v>
      </c>
      <c r="N23">
        <v>115</v>
      </c>
    </row>
    <row r="24" spans="1:16">
      <c r="A24">
        <v>1</v>
      </c>
      <c r="B24" s="68">
        <v>43390</v>
      </c>
      <c r="C24" t="s">
        <v>244</v>
      </c>
      <c r="D24" t="s">
        <v>253</v>
      </c>
      <c r="E24">
        <v>23</v>
      </c>
      <c r="F24">
        <v>24</v>
      </c>
      <c r="G24">
        <v>72</v>
      </c>
      <c r="H24">
        <v>49</v>
      </c>
      <c r="I24">
        <v>106</v>
      </c>
      <c r="J24">
        <v>84</v>
      </c>
      <c r="K24">
        <v>126</v>
      </c>
      <c r="L24">
        <v>107</v>
      </c>
      <c r="M24">
        <v>126</v>
      </c>
      <c r="N24">
        <v>107</v>
      </c>
    </row>
    <row r="25" spans="1:16">
      <c r="A25">
        <v>3</v>
      </c>
      <c r="B25" s="68">
        <v>43393</v>
      </c>
      <c r="C25" t="s">
        <v>244</v>
      </c>
      <c r="D25" t="s">
        <v>240</v>
      </c>
      <c r="E25">
        <v>18</v>
      </c>
      <c r="F25">
        <v>31</v>
      </c>
      <c r="G25">
        <v>48</v>
      </c>
      <c r="H25">
        <v>50</v>
      </c>
      <c r="I25">
        <v>70</v>
      </c>
      <c r="J25">
        <v>77</v>
      </c>
      <c r="K25">
        <v>101</v>
      </c>
      <c r="L25">
        <v>103</v>
      </c>
      <c r="M25">
        <v>101</v>
      </c>
      <c r="N25">
        <v>103</v>
      </c>
    </row>
    <row r="26" spans="1:16">
      <c r="A26">
        <v>6</v>
      </c>
      <c r="B26" s="68">
        <v>43399</v>
      </c>
      <c r="C26" t="s">
        <v>244</v>
      </c>
      <c r="D26" t="s">
        <v>242</v>
      </c>
      <c r="E26">
        <v>25</v>
      </c>
      <c r="F26">
        <v>25</v>
      </c>
      <c r="G26">
        <v>53</v>
      </c>
      <c r="H26">
        <v>53</v>
      </c>
      <c r="I26">
        <v>84</v>
      </c>
      <c r="J26">
        <v>81</v>
      </c>
      <c r="K26">
        <v>100</v>
      </c>
      <c r="L26">
        <v>128</v>
      </c>
      <c r="M26">
        <v>100</v>
      </c>
      <c r="N26">
        <v>128</v>
      </c>
    </row>
    <row r="27" spans="1:16">
      <c r="A27">
        <v>7</v>
      </c>
      <c r="B27" s="68">
        <v>43402</v>
      </c>
      <c r="C27" t="s">
        <v>244</v>
      </c>
      <c r="D27" t="s">
        <v>247</v>
      </c>
      <c r="E27">
        <v>26</v>
      </c>
      <c r="F27">
        <v>26</v>
      </c>
      <c r="G27">
        <v>52</v>
      </c>
      <c r="H27">
        <v>44</v>
      </c>
      <c r="I27">
        <v>85</v>
      </c>
      <c r="J27">
        <v>67</v>
      </c>
      <c r="K27">
        <v>115</v>
      </c>
      <c r="L27">
        <v>96</v>
      </c>
      <c r="M27">
        <v>115</v>
      </c>
      <c r="N27">
        <v>96</v>
      </c>
    </row>
    <row r="28" spans="1:16">
      <c r="A28">
        <v>8</v>
      </c>
      <c r="B28" s="68">
        <v>43404</v>
      </c>
      <c r="C28" t="s">
        <v>244</v>
      </c>
      <c r="D28" t="s">
        <v>250</v>
      </c>
      <c r="E28">
        <v>25</v>
      </c>
      <c r="F28">
        <v>28</v>
      </c>
      <c r="G28">
        <v>52</v>
      </c>
      <c r="H28">
        <v>50</v>
      </c>
      <c r="I28">
        <v>81</v>
      </c>
      <c r="J28">
        <v>77</v>
      </c>
      <c r="K28">
        <v>101</v>
      </c>
      <c r="L28">
        <v>107</v>
      </c>
      <c r="M28">
        <v>101</v>
      </c>
      <c r="N28">
        <v>107</v>
      </c>
    </row>
    <row r="29" spans="1:16">
      <c r="A29">
        <v>11</v>
      </c>
      <c r="B29" s="68">
        <v>43409</v>
      </c>
      <c r="C29" t="s">
        <v>244</v>
      </c>
      <c r="D29" t="s">
        <v>267</v>
      </c>
      <c r="E29">
        <v>21</v>
      </c>
      <c r="F29">
        <v>24</v>
      </c>
      <c r="G29">
        <v>47</v>
      </c>
      <c r="H29">
        <v>47</v>
      </c>
      <c r="I29">
        <v>72</v>
      </c>
      <c r="J29">
        <v>78</v>
      </c>
      <c r="K29">
        <v>102</v>
      </c>
      <c r="L29">
        <v>102</v>
      </c>
      <c r="M29">
        <v>115</v>
      </c>
      <c r="N29">
        <v>116</v>
      </c>
      <c r="O29">
        <v>115</v>
      </c>
      <c r="P29">
        <v>116</v>
      </c>
    </row>
    <row r="30" spans="1:16">
      <c r="A30">
        <v>14</v>
      </c>
      <c r="B30" s="68">
        <v>43415</v>
      </c>
      <c r="C30" t="s">
        <v>244</v>
      </c>
      <c r="D30" t="s">
        <v>252</v>
      </c>
      <c r="E30">
        <v>10</v>
      </c>
      <c r="F30">
        <v>30</v>
      </c>
      <c r="G30">
        <v>40</v>
      </c>
      <c r="H30">
        <v>65</v>
      </c>
      <c r="I30">
        <v>60</v>
      </c>
      <c r="J30">
        <v>87</v>
      </c>
      <c r="K30">
        <v>89</v>
      </c>
      <c r="L30">
        <v>115</v>
      </c>
      <c r="M30">
        <v>89</v>
      </c>
      <c r="N30">
        <v>115</v>
      </c>
    </row>
    <row r="31" spans="1:16">
      <c r="A31">
        <v>18</v>
      </c>
      <c r="B31" s="68">
        <v>43424</v>
      </c>
      <c r="C31" t="s">
        <v>244</v>
      </c>
      <c r="D31" t="s">
        <v>270</v>
      </c>
      <c r="E31">
        <v>35</v>
      </c>
      <c r="F31">
        <v>33</v>
      </c>
      <c r="G31">
        <v>60</v>
      </c>
      <c r="H31">
        <v>58</v>
      </c>
      <c r="I31">
        <v>85</v>
      </c>
      <c r="J31">
        <v>89</v>
      </c>
      <c r="K31">
        <v>114</v>
      </c>
      <c r="L31">
        <v>118</v>
      </c>
      <c r="M31">
        <v>114</v>
      </c>
      <c r="N31">
        <v>118</v>
      </c>
    </row>
    <row r="32" spans="1:16">
      <c r="A32">
        <v>20</v>
      </c>
      <c r="B32" s="68">
        <v>43427</v>
      </c>
      <c r="C32" t="s">
        <v>244</v>
      </c>
      <c r="D32" t="s">
        <v>257</v>
      </c>
      <c r="E32">
        <v>28</v>
      </c>
      <c r="F32">
        <v>34</v>
      </c>
      <c r="G32">
        <v>59</v>
      </c>
      <c r="H32">
        <v>60</v>
      </c>
      <c r="I32">
        <v>87</v>
      </c>
      <c r="J32">
        <v>90</v>
      </c>
      <c r="K32">
        <v>114</v>
      </c>
      <c r="L32">
        <v>109</v>
      </c>
      <c r="M32">
        <v>114</v>
      </c>
      <c r="N32">
        <v>109</v>
      </c>
    </row>
    <row r="33" spans="1:16">
      <c r="A33">
        <v>24</v>
      </c>
      <c r="B33" s="68">
        <v>43435</v>
      </c>
      <c r="C33" t="s">
        <v>244</v>
      </c>
      <c r="D33" t="s">
        <v>245</v>
      </c>
      <c r="E33">
        <v>28</v>
      </c>
      <c r="F33">
        <v>35</v>
      </c>
      <c r="G33">
        <v>61</v>
      </c>
      <c r="H33">
        <v>66</v>
      </c>
      <c r="I33">
        <v>93</v>
      </c>
      <c r="J33">
        <v>97</v>
      </c>
      <c r="K33">
        <v>124</v>
      </c>
      <c r="L33">
        <v>124</v>
      </c>
      <c r="M33">
        <v>136</v>
      </c>
      <c r="N33">
        <v>134</v>
      </c>
      <c r="O33">
        <v>136</v>
      </c>
      <c r="P33">
        <v>134</v>
      </c>
    </row>
    <row r="34" spans="1:16">
      <c r="A34">
        <v>25</v>
      </c>
      <c r="B34" s="68">
        <v>43437</v>
      </c>
      <c r="C34" t="s">
        <v>244</v>
      </c>
      <c r="D34" t="s">
        <v>268</v>
      </c>
      <c r="E34">
        <v>32</v>
      </c>
      <c r="F34">
        <v>26</v>
      </c>
      <c r="G34">
        <v>61</v>
      </c>
      <c r="H34">
        <v>52</v>
      </c>
      <c r="I34">
        <v>80</v>
      </c>
      <c r="J34">
        <v>86</v>
      </c>
      <c r="K34">
        <v>107</v>
      </c>
      <c r="L34">
        <v>110</v>
      </c>
      <c r="M34">
        <v>107</v>
      </c>
      <c r="N34">
        <v>110</v>
      </c>
    </row>
    <row r="35" spans="1:16">
      <c r="A35">
        <v>27</v>
      </c>
      <c r="B35" s="68">
        <v>43442</v>
      </c>
      <c r="C35" t="s">
        <v>244</v>
      </c>
      <c r="D35" t="s">
        <v>247</v>
      </c>
      <c r="E35">
        <v>23</v>
      </c>
      <c r="F35">
        <v>30</v>
      </c>
      <c r="G35">
        <v>45</v>
      </c>
      <c r="H35">
        <v>56</v>
      </c>
      <c r="I35">
        <v>77</v>
      </c>
      <c r="J35">
        <v>94</v>
      </c>
      <c r="K35">
        <v>104</v>
      </c>
      <c r="L35">
        <v>112</v>
      </c>
      <c r="M35">
        <v>104</v>
      </c>
      <c r="N35">
        <v>112</v>
      </c>
    </row>
    <row r="36" spans="1:16">
      <c r="A36">
        <v>28</v>
      </c>
      <c r="B36" s="68">
        <v>43443</v>
      </c>
      <c r="C36" t="s">
        <v>244</v>
      </c>
      <c r="D36" t="s">
        <v>246</v>
      </c>
      <c r="E36">
        <v>24</v>
      </c>
      <c r="F36">
        <v>27</v>
      </c>
      <c r="G36">
        <v>47</v>
      </c>
      <c r="H36">
        <v>61</v>
      </c>
      <c r="I36">
        <v>78</v>
      </c>
      <c r="J36">
        <v>99</v>
      </c>
      <c r="K36">
        <v>107</v>
      </c>
      <c r="L36">
        <v>119</v>
      </c>
      <c r="M36">
        <v>107</v>
      </c>
      <c r="N36">
        <v>119</v>
      </c>
    </row>
    <row r="37" spans="1:16">
      <c r="A37">
        <v>32</v>
      </c>
      <c r="B37" s="68">
        <v>43451</v>
      </c>
      <c r="C37" t="s">
        <v>244</v>
      </c>
      <c r="D37" t="s">
        <v>266</v>
      </c>
      <c r="E37">
        <v>32</v>
      </c>
      <c r="F37">
        <v>28</v>
      </c>
      <c r="G37">
        <v>66</v>
      </c>
      <c r="H37">
        <v>59</v>
      </c>
      <c r="I37">
        <v>83</v>
      </c>
      <c r="J37">
        <v>100</v>
      </c>
      <c r="K37">
        <v>110</v>
      </c>
      <c r="L37">
        <v>128</v>
      </c>
      <c r="M37">
        <v>110</v>
      </c>
      <c r="N37">
        <v>128</v>
      </c>
    </row>
    <row r="38" spans="1:16">
      <c r="A38">
        <v>34</v>
      </c>
      <c r="B38" s="68">
        <v>43455</v>
      </c>
      <c r="C38" t="s">
        <v>244</v>
      </c>
      <c r="D38" t="s">
        <v>253</v>
      </c>
      <c r="E38">
        <v>39</v>
      </c>
      <c r="F38">
        <v>28</v>
      </c>
      <c r="G38">
        <v>69</v>
      </c>
      <c r="H38">
        <v>60</v>
      </c>
      <c r="I38">
        <v>89</v>
      </c>
      <c r="J38">
        <v>87</v>
      </c>
      <c r="K38">
        <v>107</v>
      </c>
      <c r="L38">
        <v>114</v>
      </c>
      <c r="M38">
        <v>107</v>
      </c>
      <c r="N38">
        <v>114</v>
      </c>
    </row>
    <row r="39" spans="1:16">
      <c r="A39">
        <v>35</v>
      </c>
      <c r="B39" s="68">
        <v>43459</v>
      </c>
      <c r="C39" t="s">
        <v>244</v>
      </c>
      <c r="D39" t="s">
        <v>245</v>
      </c>
      <c r="E39">
        <v>24</v>
      </c>
      <c r="F39">
        <v>22</v>
      </c>
      <c r="G39">
        <v>46</v>
      </c>
      <c r="H39">
        <v>48</v>
      </c>
      <c r="I39">
        <v>68</v>
      </c>
      <c r="J39">
        <v>84</v>
      </c>
      <c r="K39">
        <v>95</v>
      </c>
      <c r="L39">
        <v>109</v>
      </c>
      <c r="M39">
        <v>95</v>
      </c>
      <c r="N39">
        <v>109</v>
      </c>
    </row>
  </sheetData>
  <sortState xmlns:xlrd2="http://schemas.microsoft.com/office/spreadsheetml/2017/richdata2" ref="A2:R67">
    <sortCondition ref="C1"/>
  </sortState>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dimension ref="A1:AA38"/>
  <sheetViews>
    <sheetView topLeftCell="S1" workbookViewId="0">
      <selection activeCell="V4" sqref="V4"/>
    </sheetView>
  </sheetViews>
  <sheetFormatPr defaultRowHeight="14.5"/>
  <cols>
    <col min="1" max="1" width="2.6328125" bestFit="1" customWidth="1"/>
    <col min="2" max="2" width="13.453125"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54296875" customWidth="1"/>
    <col min="20" max="20" width="25.36328125" customWidth="1"/>
    <col min="21" max="21" width="25.81640625" customWidth="1"/>
    <col min="22" max="22" width="24.54296875" customWidth="1"/>
    <col min="23" max="23" width="22.90625" customWidth="1"/>
    <col min="24" max="24" width="20" customWidth="1"/>
    <col min="25" max="25" width="23.7265625" customWidth="1"/>
    <col min="26" max="26" width="21.81640625" customWidth="1"/>
    <col min="27" max="27" width="25.54296875" customWidth="1"/>
  </cols>
  <sheetData>
    <row r="1" spans="1:27">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c r="S1" t="s">
        <v>273</v>
      </c>
      <c r="T1" t="s">
        <v>274</v>
      </c>
      <c r="U1" t="s">
        <v>276</v>
      </c>
      <c r="V1" t="s">
        <v>274</v>
      </c>
      <c r="W1" t="s">
        <v>276</v>
      </c>
      <c r="X1" t="s">
        <v>278</v>
      </c>
      <c r="Y1" t="s">
        <v>279</v>
      </c>
      <c r="Z1" t="s">
        <v>280</v>
      </c>
      <c r="AA1" t="s">
        <v>281</v>
      </c>
    </row>
    <row r="2" spans="1:27">
      <c r="A2">
        <v>2</v>
      </c>
      <c r="B2" s="68">
        <v>43392</v>
      </c>
      <c r="C2" t="s">
        <v>243</v>
      </c>
      <c r="D2" t="s">
        <v>256</v>
      </c>
      <c r="E2">
        <v>25</v>
      </c>
      <c r="F2">
        <v>18</v>
      </c>
      <c r="G2">
        <v>53</v>
      </c>
      <c r="H2">
        <v>49</v>
      </c>
      <c r="I2">
        <v>79</v>
      </c>
      <c r="J2">
        <v>82</v>
      </c>
      <c r="K2">
        <v>101</v>
      </c>
      <c r="L2">
        <v>113</v>
      </c>
      <c r="M2">
        <v>101</v>
      </c>
      <c r="N2">
        <v>113</v>
      </c>
      <c r="T2" t="s">
        <v>275</v>
      </c>
      <c r="U2" t="s">
        <v>275</v>
      </c>
      <c r="V2" t="s">
        <v>277</v>
      </c>
      <c r="W2" t="s">
        <v>277</v>
      </c>
      <c r="X2">
        <f>AVERAGE(M22:M38)</f>
        <v>112.47058823529412</v>
      </c>
      <c r="Y2">
        <f>AVERAGE(N22:N38)</f>
        <v>103.76470588235294</v>
      </c>
      <c r="Z2">
        <f>AVERAGE(G22:G38)</f>
        <v>56.117647058823529</v>
      </c>
      <c r="AA2">
        <f>AVERAGE(H22:H38)</f>
        <v>52.117647058823529</v>
      </c>
    </row>
    <row r="3" spans="1:27">
      <c r="A3">
        <v>3</v>
      </c>
      <c r="B3" s="68">
        <v>43393</v>
      </c>
      <c r="C3" t="s">
        <v>243</v>
      </c>
      <c r="D3" t="s">
        <v>254</v>
      </c>
      <c r="E3">
        <v>31</v>
      </c>
      <c r="F3">
        <v>18</v>
      </c>
      <c r="G3">
        <v>50</v>
      </c>
      <c r="H3">
        <v>48</v>
      </c>
      <c r="I3">
        <v>77</v>
      </c>
      <c r="J3">
        <v>70</v>
      </c>
      <c r="K3">
        <v>103</v>
      </c>
      <c r="L3">
        <v>101</v>
      </c>
      <c r="M3">
        <v>103</v>
      </c>
      <c r="N3">
        <v>101</v>
      </c>
      <c r="T3">
        <f>AVERAGEIF(S22:S38,"&gt;0",Q22:Q38)</f>
        <v>58.416666666666664</v>
      </c>
      <c r="U3">
        <f>AVERAGEIF(S22:S38,"&gt;0",R22:R38)</f>
        <v>52.583333333333336</v>
      </c>
      <c r="V3">
        <f>AVERAGEIF(S22:S38,"&lt;0",Q22:Q38)</f>
        <v>51.4</v>
      </c>
      <c r="W3">
        <f>AVERAGEIF(S22:S38,"&lt;0",R22:R38)</f>
        <v>49.4</v>
      </c>
    </row>
    <row r="4" spans="1:27">
      <c r="A4">
        <v>5</v>
      </c>
      <c r="B4" s="68">
        <v>43398</v>
      </c>
      <c r="C4" t="s">
        <v>243</v>
      </c>
      <c r="D4" t="s">
        <v>241</v>
      </c>
      <c r="E4">
        <v>16</v>
      </c>
      <c r="F4">
        <v>22</v>
      </c>
      <c r="G4">
        <v>34</v>
      </c>
      <c r="H4">
        <v>50</v>
      </c>
      <c r="I4">
        <v>74</v>
      </c>
      <c r="J4">
        <v>73</v>
      </c>
      <c r="K4">
        <v>101</v>
      </c>
      <c r="L4">
        <v>95</v>
      </c>
      <c r="M4">
        <v>101</v>
      </c>
      <c r="N4">
        <v>95</v>
      </c>
    </row>
    <row r="5" spans="1:27">
      <c r="A5">
        <v>6</v>
      </c>
      <c r="B5" s="68">
        <v>43400</v>
      </c>
      <c r="C5" t="s">
        <v>243</v>
      </c>
      <c r="D5" t="s">
        <v>248</v>
      </c>
      <c r="E5">
        <v>30</v>
      </c>
      <c r="F5">
        <v>21</v>
      </c>
      <c r="G5">
        <v>63</v>
      </c>
      <c r="H5">
        <v>41</v>
      </c>
      <c r="I5">
        <v>84</v>
      </c>
      <c r="J5">
        <v>67</v>
      </c>
      <c r="K5">
        <v>109</v>
      </c>
      <c r="L5">
        <v>89</v>
      </c>
      <c r="M5">
        <v>109</v>
      </c>
      <c r="N5">
        <v>89</v>
      </c>
    </row>
    <row r="6" spans="1:27">
      <c r="A6">
        <v>9</v>
      </c>
      <c r="B6" s="68">
        <v>43407</v>
      </c>
      <c r="C6" t="s">
        <v>243</v>
      </c>
      <c r="D6" t="s">
        <v>250</v>
      </c>
      <c r="E6">
        <v>28</v>
      </c>
      <c r="F6">
        <v>18</v>
      </c>
      <c r="G6">
        <v>45</v>
      </c>
      <c r="H6">
        <v>45</v>
      </c>
      <c r="I6">
        <v>72</v>
      </c>
      <c r="J6">
        <v>72</v>
      </c>
      <c r="K6">
        <v>101</v>
      </c>
      <c r="L6">
        <v>102</v>
      </c>
      <c r="M6">
        <v>101</v>
      </c>
      <c r="N6">
        <v>102</v>
      </c>
    </row>
    <row r="7" spans="1:27">
      <c r="A7">
        <v>10</v>
      </c>
      <c r="B7" s="68">
        <v>43409</v>
      </c>
      <c r="C7" t="s">
        <v>243</v>
      </c>
      <c r="D7" t="s">
        <v>263</v>
      </c>
      <c r="E7">
        <v>34</v>
      </c>
      <c r="F7">
        <v>19</v>
      </c>
      <c r="G7">
        <v>56</v>
      </c>
      <c r="H7">
        <v>54</v>
      </c>
      <c r="I7">
        <v>81</v>
      </c>
      <c r="J7">
        <v>88</v>
      </c>
      <c r="K7">
        <v>107</v>
      </c>
      <c r="L7">
        <v>115</v>
      </c>
      <c r="M7">
        <v>107</v>
      </c>
      <c r="N7">
        <v>115</v>
      </c>
    </row>
    <row r="8" spans="1:27">
      <c r="A8">
        <v>11</v>
      </c>
      <c r="B8" s="68">
        <v>43412</v>
      </c>
      <c r="C8" t="s">
        <v>243</v>
      </c>
      <c r="D8" t="s">
        <v>266</v>
      </c>
      <c r="E8">
        <v>13</v>
      </c>
      <c r="F8">
        <v>32</v>
      </c>
      <c r="G8">
        <v>35</v>
      </c>
      <c r="H8">
        <v>55</v>
      </c>
      <c r="I8">
        <v>65</v>
      </c>
      <c r="J8">
        <v>80</v>
      </c>
      <c r="K8">
        <v>100</v>
      </c>
      <c r="L8">
        <v>100</v>
      </c>
      <c r="M8">
        <v>116</v>
      </c>
      <c r="N8">
        <v>109</v>
      </c>
      <c r="O8">
        <v>116</v>
      </c>
      <c r="P8">
        <v>109</v>
      </c>
    </row>
    <row r="9" spans="1:27">
      <c r="A9">
        <v>12</v>
      </c>
      <c r="B9" s="68">
        <v>43413</v>
      </c>
      <c r="C9" t="s">
        <v>243</v>
      </c>
      <c r="D9" t="s">
        <v>261</v>
      </c>
      <c r="E9">
        <v>25</v>
      </c>
      <c r="F9">
        <v>27</v>
      </c>
      <c r="G9">
        <v>51</v>
      </c>
      <c r="H9">
        <v>58</v>
      </c>
      <c r="I9">
        <v>80</v>
      </c>
      <c r="J9">
        <v>93</v>
      </c>
      <c r="K9">
        <v>115</v>
      </c>
      <c r="L9">
        <v>123</v>
      </c>
      <c r="M9">
        <v>115</v>
      </c>
      <c r="N9">
        <v>123</v>
      </c>
    </row>
    <row r="10" spans="1:27">
      <c r="A10">
        <v>13</v>
      </c>
      <c r="B10" s="68">
        <v>43415</v>
      </c>
      <c r="C10" t="s">
        <v>243</v>
      </c>
      <c r="D10" t="s">
        <v>270</v>
      </c>
      <c r="E10">
        <v>21</v>
      </c>
      <c r="F10">
        <v>26</v>
      </c>
      <c r="G10">
        <v>37</v>
      </c>
      <c r="H10">
        <v>54</v>
      </c>
      <c r="I10">
        <v>70</v>
      </c>
      <c r="J10">
        <v>83</v>
      </c>
      <c r="K10">
        <v>94</v>
      </c>
      <c r="L10">
        <v>100</v>
      </c>
      <c r="M10">
        <v>94</v>
      </c>
      <c r="N10">
        <v>100</v>
      </c>
    </row>
    <row r="11" spans="1:27">
      <c r="A11">
        <v>17</v>
      </c>
      <c r="B11" s="68">
        <v>43423</v>
      </c>
      <c r="C11" t="s">
        <v>243</v>
      </c>
      <c r="D11" t="s">
        <v>246</v>
      </c>
      <c r="E11">
        <v>24</v>
      </c>
      <c r="F11">
        <v>29</v>
      </c>
      <c r="G11">
        <v>56</v>
      </c>
      <c r="H11">
        <v>54</v>
      </c>
      <c r="I11">
        <v>87</v>
      </c>
      <c r="J11">
        <v>84</v>
      </c>
      <c r="K11">
        <v>112</v>
      </c>
      <c r="L11">
        <v>117</v>
      </c>
      <c r="M11">
        <v>112</v>
      </c>
      <c r="N11">
        <v>117</v>
      </c>
    </row>
    <row r="12" spans="1:27">
      <c r="A12">
        <v>19</v>
      </c>
      <c r="B12" s="68">
        <v>43427</v>
      </c>
      <c r="C12" t="s">
        <v>243</v>
      </c>
      <c r="D12" t="s">
        <v>253</v>
      </c>
      <c r="E12">
        <v>45</v>
      </c>
      <c r="F12">
        <v>23</v>
      </c>
      <c r="G12">
        <v>61</v>
      </c>
      <c r="H12">
        <v>45</v>
      </c>
      <c r="I12">
        <v>82</v>
      </c>
      <c r="J12">
        <v>64</v>
      </c>
      <c r="K12">
        <v>114</v>
      </c>
      <c r="L12">
        <v>96</v>
      </c>
      <c r="M12">
        <v>114</v>
      </c>
      <c r="N12">
        <v>96</v>
      </c>
    </row>
    <row r="13" spans="1:27">
      <c r="A13">
        <v>20</v>
      </c>
      <c r="B13" s="68">
        <v>43428</v>
      </c>
      <c r="C13" t="s">
        <v>243</v>
      </c>
      <c r="D13" t="s">
        <v>265</v>
      </c>
      <c r="E13">
        <v>26</v>
      </c>
      <c r="F13">
        <v>32</v>
      </c>
      <c r="G13">
        <v>56</v>
      </c>
      <c r="H13">
        <v>59</v>
      </c>
      <c r="I13">
        <v>82</v>
      </c>
      <c r="J13">
        <v>87</v>
      </c>
      <c r="K13">
        <v>104</v>
      </c>
      <c r="L13">
        <v>113</v>
      </c>
      <c r="M13">
        <v>104</v>
      </c>
      <c r="N13">
        <v>113</v>
      </c>
    </row>
    <row r="14" spans="1:27">
      <c r="A14">
        <v>21</v>
      </c>
      <c r="B14" s="68">
        <v>43430</v>
      </c>
      <c r="C14" t="s">
        <v>243</v>
      </c>
      <c r="D14" t="s">
        <v>257</v>
      </c>
      <c r="E14">
        <v>34</v>
      </c>
      <c r="F14">
        <v>21</v>
      </c>
      <c r="G14">
        <v>57</v>
      </c>
      <c r="H14">
        <v>48</v>
      </c>
      <c r="I14">
        <v>89</v>
      </c>
      <c r="J14">
        <v>79</v>
      </c>
      <c r="K14">
        <v>124</v>
      </c>
      <c r="L14">
        <v>107</v>
      </c>
      <c r="M14">
        <v>124</v>
      </c>
      <c r="N14">
        <v>107</v>
      </c>
    </row>
    <row r="15" spans="1:27">
      <c r="A15">
        <v>23</v>
      </c>
      <c r="B15" s="68">
        <v>43435</v>
      </c>
      <c r="C15" t="s">
        <v>243</v>
      </c>
      <c r="D15" t="s">
        <v>259</v>
      </c>
      <c r="E15">
        <v>29</v>
      </c>
      <c r="F15">
        <v>26</v>
      </c>
      <c r="G15">
        <v>57</v>
      </c>
      <c r="H15">
        <v>48</v>
      </c>
      <c r="I15">
        <v>84</v>
      </c>
      <c r="J15">
        <v>77</v>
      </c>
      <c r="K15">
        <v>118</v>
      </c>
      <c r="L15">
        <v>109</v>
      </c>
      <c r="M15">
        <v>118</v>
      </c>
      <c r="N15">
        <v>109</v>
      </c>
    </row>
    <row r="16" spans="1:27">
      <c r="A16">
        <v>25</v>
      </c>
      <c r="B16" s="68">
        <v>43442</v>
      </c>
      <c r="C16" t="s">
        <v>243</v>
      </c>
      <c r="D16" t="s">
        <v>267</v>
      </c>
      <c r="E16">
        <v>35</v>
      </c>
      <c r="F16">
        <v>17</v>
      </c>
      <c r="G16">
        <v>64</v>
      </c>
      <c r="H16">
        <v>43</v>
      </c>
      <c r="I16">
        <v>93</v>
      </c>
      <c r="J16">
        <v>60</v>
      </c>
      <c r="K16">
        <v>133</v>
      </c>
      <c r="L16">
        <v>77</v>
      </c>
      <c r="M16">
        <v>133</v>
      </c>
      <c r="N16">
        <v>77</v>
      </c>
    </row>
    <row r="17" spans="1:19">
      <c r="A17">
        <v>27</v>
      </c>
      <c r="B17" s="68">
        <v>43446</v>
      </c>
      <c r="C17" t="s">
        <v>243</v>
      </c>
      <c r="D17" t="s">
        <v>268</v>
      </c>
      <c r="E17">
        <v>24</v>
      </c>
      <c r="F17">
        <v>28</v>
      </c>
      <c r="G17">
        <v>46</v>
      </c>
      <c r="H17">
        <v>55</v>
      </c>
      <c r="I17">
        <v>84</v>
      </c>
      <c r="J17">
        <v>77</v>
      </c>
      <c r="K17">
        <v>113</v>
      </c>
      <c r="L17">
        <v>113</v>
      </c>
      <c r="M17">
        <v>130</v>
      </c>
      <c r="N17">
        <v>125</v>
      </c>
      <c r="O17">
        <v>130</v>
      </c>
      <c r="P17">
        <v>125</v>
      </c>
    </row>
    <row r="18" spans="1:19">
      <c r="A18">
        <v>29</v>
      </c>
      <c r="B18" s="68">
        <v>43449</v>
      </c>
      <c r="C18" t="s">
        <v>243</v>
      </c>
      <c r="D18" t="s">
        <v>248</v>
      </c>
      <c r="E18">
        <v>33</v>
      </c>
      <c r="F18">
        <v>33</v>
      </c>
      <c r="G18">
        <v>56</v>
      </c>
      <c r="H18">
        <v>57</v>
      </c>
      <c r="I18">
        <v>78</v>
      </c>
      <c r="J18">
        <v>85</v>
      </c>
      <c r="K18">
        <v>104</v>
      </c>
      <c r="L18">
        <v>113</v>
      </c>
      <c r="M18">
        <v>104</v>
      </c>
      <c r="N18">
        <v>113</v>
      </c>
    </row>
    <row r="19" spans="1:19">
      <c r="A19">
        <v>34</v>
      </c>
      <c r="B19" s="68">
        <v>43461</v>
      </c>
      <c r="C19" t="s">
        <v>243</v>
      </c>
      <c r="D19" t="s">
        <v>258</v>
      </c>
      <c r="E19">
        <v>24</v>
      </c>
      <c r="F19">
        <v>35</v>
      </c>
      <c r="G19">
        <v>55</v>
      </c>
      <c r="H19">
        <v>57</v>
      </c>
      <c r="I19">
        <v>86</v>
      </c>
      <c r="J19">
        <v>92</v>
      </c>
      <c r="K19">
        <v>113</v>
      </c>
      <c r="L19">
        <v>127</v>
      </c>
      <c r="M19">
        <v>113</v>
      </c>
      <c r="N19">
        <v>127</v>
      </c>
    </row>
    <row r="20" spans="1:19">
      <c r="A20">
        <v>35</v>
      </c>
      <c r="B20" s="68">
        <v>43463</v>
      </c>
      <c r="C20" t="s">
        <v>243</v>
      </c>
      <c r="D20" t="s">
        <v>249</v>
      </c>
      <c r="E20">
        <v>29</v>
      </c>
      <c r="F20">
        <v>26</v>
      </c>
      <c r="G20">
        <v>47</v>
      </c>
      <c r="H20">
        <v>64</v>
      </c>
      <c r="I20">
        <v>79</v>
      </c>
      <c r="J20">
        <v>87</v>
      </c>
      <c r="K20">
        <v>112</v>
      </c>
      <c r="L20">
        <v>103</v>
      </c>
      <c r="M20">
        <v>112</v>
      </c>
      <c r="N20">
        <v>103</v>
      </c>
    </row>
    <row r="21" spans="1:19">
      <c r="A21">
        <v>36</v>
      </c>
      <c r="B21" s="68">
        <v>43465</v>
      </c>
      <c r="C21" t="s">
        <v>243</v>
      </c>
      <c r="D21" t="s">
        <v>260</v>
      </c>
      <c r="E21">
        <v>23</v>
      </c>
      <c r="F21">
        <v>17</v>
      </c>
      <c r="G21">
        <v>52</v>
      </c>
      <c r="H21">
        <v>46</v>
      </c>
      <c r="I21">
        <v>82</v>
      </c>
      <c r="J21">
        <v>92</v>
      </c>
      <c r="K21">
        <v>111</v>
      </c>
      <c r="L21">
        <v>120</v>
      </c>
      <c r="M21">
        <v>111</v>
      </c>
      <c r="N21">
        <v>120</v>
      </c>
    </row>
    <row r="22" spans="1:19">
      <c r="A22">
        <v>1</v>
      </c>
      <c r="B22" s="68">
        <v>43389</v>
      </c>
      <c r="C22" t="s">
        <v>244</v>
      </c>
      <c r="D22" t="s">
        <v>239</v>
      </c>
      <c r="E22">
        <v>21</v>
      </c>
      <c r="F22">
        <v>21</v>
      </c>
      <c r="G22">
        <v>47</v>
      </c>
      <c r="H22">
        <v>42</v>
      </c>
      <c r="I22">
        <v>77</v>
      </c>
      <c r="J22">
        <v>66</v>
      </c>
      <c r="K22">
        <v>105</v>
      </c>
      <c r="L22">
        <v>87</v>
      </c>
      <c r="M22">
        <v>105</v>
      </c>
      <c r="N22">
        <v>87</v>
      </c>
      <c r="Q22">
        <f>M22-G22</f>
        <v>58</v>
      </c>
      <c r="R22">
        <f>N22-H22</f>
        <v>45</v>
      </c>
      <c r="S22">
        <f>G22-H22</f>
        <v>5</v>
      </c>
    </row>
    <row r="23" spans="1:19">
      <c r="A23">
        <v>4</v>
      </c>
      <c r="B23" s="68">
        <v>43395</v>
      </c>
      <c r="C23" t="s">
        <v>244</v>
      </c>
      <c r="D23" t="s">
        <v>252</v>
      </c>
      <c r="E23">
        <v>19</v>
      </c>
      <c r="F23">
        <v>28</v>
      </c>
      <c r="G23">
        <v>45</v>
      </c>
      <c r="H23">
        <v>48</v>
      </c>
      <c r="I23">
        <v>70</v>
      </c>
      <c r="J23">
        <v>75</v>
      </c>
      <c r="K23">
        <v>90</v>
      </c>
      <c r="L23">
        <v>93</v>
      </c>
      <c r="M23">
        <v>90</v>
      </c>
      <c r="N23">
        <v>93</v>
      </c>
      <c r="Q23">
        <f t="shared" ref="Q23:Q38" si="0">M23-G23</f>
        <v>45</v>
      </c>
      <c r="R23">
        <f t="shared" ref="R23:R38" si="1">N23-H23</f>
        <v>45</v>
      </c>
      <c r="S23">
        <f t="shared" ref="S23:S38" si="2">G23-H23</f>
        <v>-3</v>
      </c>
    </row>
    <row r="24" spans="1:19">
      <c r="A24">
        <v>7</v>
      </c>
      <c r="B24" s="68">
        <v>43403</v>
      </c>
      <c r="C24" t="s">
        <v>244</v>
      </c>
      <c r="D24" t="s">
        <v>248</v>
      </c>
      <c r="E24">
        <v>31</v>
      </c>
      <c r="F24">
        <v>28</v>
      </c>
      <c r="G24">
        <v>56</v>
      </c>
      <c r="H24">
        <v>58</v>
      </c>
      <c r="I24">
        <v>81</v>
      </c>
      <c r="J24">
        <v>71</v>
      </c>
      <c r="K24">
        <v>108</v>
      </c>
      <c r="L24">
        <v>105</v>
      </c>
      <c r="M24">
        <v>108</v>
      </c>
      <c r="N24">
        <v>105</v>
      </c>
      <c r="Q24">
        <f t="shared" si="0"/>
        <v>52</v>
      </c>
      <c r="R24">
        <f t="shared" si="1"/>
        <v>47</v>
      </c>
      <c r="S24">
        <f t="shared" si="2"/>
        <v>-2</v>
      </c>
    </row>
    <row r="25" spans="1:19">
      <c r="A25">
        <v>8</v>
      </c>
      <c r="B25" s="68">
        <v>43405</v>
      </c>
      <c r="C25" t="s">
        <v>244</v>
      </c>
      <c r="D25" t="s">
        <v>245</v>
      </c>
      <c r="E25">
        <v>23</v>
      </c>
      <c r="F25">
        <v>16</v>
      </c>
      <c r="G25">
        <v>55</v>
      </c>
      <c r="H25">
        <v>53</v>
      </c>
      <c r="I25">
        <v>93</v>
      </c>
      <c r="J25">
        <v>78</v>
      </c>
      <c r="K25">
        <v>117</v>
      </c>
      <c r="L25">
        <v>113</v>
      </c>
      <c r="M25">
        <v>117</v>
      </c>
      <c r="N25">
        <v>113</v>
      </c>
      <c r="Q25">
        <f t="shared" si="0"/>
        <v>62</v>
      </c>
      <c r="R25">
        <f t="shared" si="1"/>
        <v>60</v>
      </c>
      <c r="S25">
        <f t="shared" si="2"/>
        <v>2</v>
      </c>
    </row>
    <row r="26" spans="1:19">
      <c r="A26">
        <v>14</v>
      </c>
      <c r="B26" s="68">
        <v>43418</v>
      </c>
      <c r="C26" t="s">
        <v>244</v>
      </c>
      <c r="D26" t="s">
        <v>267</v>
      </c>
      <c r="E26">
        <v>19</v>
      </c>
      <c r="F26">
        <v>24</v>
      </c>
      <c r="G26">
        <v>51</v>
      </c>
      <c r="H26">
        <v>35</v>
      </c>
      <c r="I26">
        <v>77</v>
      </c>
      <c r="J26">
        <v>59</v>
      </c>
      <c r="K26">
        <v>111</v>
      </c>
      <c r="L26">
        <v>82</v>
      </c>
      <c r="M26">
        <v>111</v>
      </c>
      <c r="N26">
        <v>82</v>
      </c>
      <c r="Q26">
        <f t="shared" si="0"/>
        <v>60</v>
      </c>
      <c r="R26">
        <f t="shared" si="1"/>
        <v>47</v>
      </c>
      <c r="S26">
        <f t="shared" si="2"/>
        <v>16</v>
      </c>
    </row>
    <row r="27" spans="1:19">
      <c r="A27">
        <v>15</v>
      </c>
      <c r="B27" s="68">
        <v>43420</v>
      </c>
      <c r="C27" t="s">
        <v>244</v>
      </c>
      <c r="D27" t="s">
        <v>256</v>
      </c>
      <c r="E27">
        <v>30</v>
      </c>
      <c r="F27">
        <v>27</v>
      </c>
      <c r="G27">
        <v>54</v>
      </c>
      <c r="H27">
        <v>52</v>
      </c>
      <c r="I27">
        <v>78</v>
      </c>
      <c r="J27">
        <v>82</v>
      </c>
      <c r="K27">
        <v>107</v>
      </c>
      <c r="L27">
        <v>107</v>
      </c>
      <c r="M27">
        <v>123</v>
      </c>
      <c r="N27">
        <v>116</v>
      </c>
      <c r="O27">
        <v>123</v>
      </c>
      <c r="P27">
        <v>116</v>
      </c>
      <c r="Q27">
        <f t="shared" si="0"/>
        <v>69</v>
      </c>
      <c r="R27">
        <f t="shared" si="1"/>
        <v>64</v>
      </c>
      <c r="S27">
        <f t="shared" si="2"/>
        <v>2</v>
      </c>
    </row>
    <row r="28" spans="1:19">
      <c r="A28">
        <v>16</v>
      </c>
      <c r="B28" s="68">
        <v>43421</v>
      </c>
      <c r="C28" t="s">
        <v>244</v>
      </c>
      <c r="D28" t="s">
        <v>261</v>
      </c>
      <c r="E28">
        <v>20</v>
      </c>
      <c r="F28">
        <v>29</v>
      </c>
      <c r="G28">
        <v>45</v>
      </c>
      <c r="H28">
        <v>50</v>
      </c>
      <c r="I28">
        <v>62</v>
      </c>
      <c r="J28">
        <v>77</v>
      </c>
      <c r="K28">
        <v>86</v>
      </c>
      <c r="L28">
        <v>98</v>
      </c>
      <c r="M28">
        <v>86</v>
      </c>
      <c r="N28">
        <v>98</v>
      </c>
      <c r="Q28">
        <f t="shared" si="0"/>
        <v>41</v>
      </c>
      <c r="R28">
        <f t="shared" si="1"/>
        <v>48</v>
      </c>
      <c r="S28">
        <f t="shared" si="2"/>
        <v>-5</v>
      </c>
    </row>
    <row r="29" spans="1:19">
      <c r="A29">
        <v>18</v>
      </c>
      <c r="B29" s="68">
        <v>43425</v>
      </c>
      <c r="C29" t="s">
        <v>244</v>
      </c>
      <c r="D29" t="s">
        <v>254</v>
      </c>
      <c r="E29">
        <v>18</v>
      </c>
      <c r="F29">
        <v>26</v>
      </c>
      <c r="G29">
        <v>49</v>
      </c>
      <c r="H29">
        <v>65</v>
      </c>
      <c r="I29">
        <v>69</v>
      </c>
      <c r="J29">
        <v>84</v>
      </c>
      <c r="K29">
        <v>109</v>
      </c>
      <c r="L29">
        <v>117</v>
      </c>
      <c r="M29">
        <v>109</v>
      </c>
      <c r="N29">
        <v>117</v>
      </c>
      <c r="Q29">
        <f t="shared" si="0"/>
        <v>60</v>
      </c>
      <c r="R29">
        <f t="shared" si="1"/>
        <v>52</v>
      </c>
      <c r="S29">
        <f t="shared" si="2"/>
        <v>-16</v>
      </c>
    </row>
    <row r="30" spans="1:19">
      <c r="A30">
        <v>22</v>
      </c>
      <c r="B30" s="68">
        <v>43434</v>
      </c>
      <c r="C30" t="s">
        <v>244</v>
      </c>
      <c r="D30" t="s">
        <v>255</v>
      </c>
      <c r="E30">
        <v>30</v>
      </c>
      <c r="F30">
        <v>26</v>
      </c>
      <c r="G30">
        <v>62</v>
      </c>
      <c r="H30">
        <v>52</v>
      </c>
      <c r="I30">
        <v>101</v>
      </c>
      <c r="J30">
        <v>72</v>
      </c>
      <c r="K30">
        <v>128</v>
      </c>
      <c r="L30">
        <v>95</v>
      </c>
      <c r="M30">
        <v>128</v>
      </c>
      <c r="N30">
        <v>95</v>
      </c>
      <c r="Q30">
        <f t="shared" si="0"/>
        <v>66</v>
      </c>
      <c r="R30">
        <f t="shared" si="1"/>
        <v>43</v>
      </c>
      <c r="S30">
        <f t="shared" si="2"/>
        <v>10</v>
      </c>
    </row>
    <row r="31" spans="1:19">
      <c r="A31">
        <v>24</v>
      </c>
      <c r="B31" s="68">
        <v>43440</v>
      </c>
      <c r="C31" t="s">
        <v>244</v>
      </c>
      <c r="D31" t="s">
        <v>254</v>
      </c>
      <c r="E31">
        <v>38</v>
      </c>
      <c r="F31">
        <v>30</v>
      </c>
      <c r="G31">
        <v>69</v>
      </c>
      <c r="H31">
        <v>58</v>
      </c>
      <c r="I31">
        <v>99</v>
      </c>
      <c r="J31">
        <v>84</v>
      </c>
      <c r="K31">
        <v>128</v>
      </c>
      <c r="L31">
        <v>100</v>
      </c>
      <c r="M31">
        <v>128</v>
      </c>
      <c r="N31">
        <v>100</v>
      </c>
      <c r="Q31">
        <f t="shared" si="0"/>
        <v>59</v>
      </c>
      <c r="R31">
        <f t="shared" si="1"/>
        <v>42</v>
      </c>
      <c r="S31">
        <f t="shared" si="2"/>
        <v>11</v>
      </c>
    </row>
    <row r="32" spans="1:19">
      <c r="A32">
        <v>26</v>
      </c>
      <c r="B32" s="68">
        <v>43444</v>
      </c>
      <c r="C32" t="s">
        <v>244</v>
      </c>
      <c r="D32" t="s">
        <v>257</v>
      </c>
      <c r="E32">
        <v>28</v>
      </c>
      <c r="F32">
        <v>21</v>
      </c>
      <c r="G32">
        <v>59</v>
      </c>
      <c r="H32">
        <v>53</v>
      </c>
      <c r="I32">
        <v>83</v>
      </c>
      <c r="J32">
        <v>72</v>
      </c>
      <c r="K32">
        <v>113</v>
      </c>
      <c r="L32">
        <v>100</v>
      </c>
      <c r="M32">
        <v>113</v>
      </c>
      <c r="N32">
        <v>100</v>
      </c>
      <c r="Q32">
        <f t="shared" si="0"/>
        <v>54</v>
      </c>
      <c r="R32">
        <f t="shared" si="1"/>
        <v>47</v>
      </c>
      <c r="S32">
        <f t="shared" si="2"/>
        <v>6</v>
      </c>
    </row>
    <row r="33" spans="1:19">
      <c r="A33">
        <v>28</v>
      </c>
      <c r="B33" s="68">
        <v>43448</v>
      </c>
      <c r="C33" t="s">
        <v>244</v>
      </c>
      <c r="D33" t="s">
        <v>253</v>
      </c>
      <c r="E33">
        <v>42</v>
      </c>
      <c r="F33">
        <v>19</v>
      </c>
      <c r="G33">
        <v>67</v>
      </c>
      <c r="H33">
        <v>56</v>
      </c>
      <c r="I33">
        <v>108</v>
      </c>
      <c r="J33">
        <v>82</v>
      </c>
      <c r="K33">
        <v>129</v>
      </c>
      <c r="L33">
        <v>108</v>
      </c>
      <c r="M33">
        <v>129</v>
      </c>
      <c r="N33">
        <v>108</v>
      </c>
      <c r="Q33">
        <f t="shared" si="0"/>
        <v>62</v>
      </c>
      <c r="R33">
        <f t="shared" si="1"/>
        <v>52</v>
      </c>
      <c r="S33">
        <f t="shared" si="2"/>
        <v>11</v>
      </c>
    </row>
    <row r="34" spans="1:19">
      <c r="A34">
        <v>30</v>
      </c>
      <c r="B34" s="68">
        <v>43453</v>
      </c>
      <c r="C34" t="s">
        <v>244</v>
      </c>
      <c r="D34" t="s">
        <v>266</v>
      </c>
      <c r="E34">
        <v>37</v>
      </c>
      <c r="F34">
        <v>26</v>
      </c>
      <c r="G34">
        <v>62</v>
      </c>
      <c r="H34">
        <v>59</v>
      </c>
      <c r="I34">
        <v>80</v>
      </c>
      <c r="J34">
        <v>86</v>
      </c>
      <c r="K34">
        <v>103</v>
      </c>
      <c r="L34">
        <v>111</v>
      </c>
      <c r="M34">
        <v>103</v>
      </c>
      <c r="N34">
        <v>111</v>
      </c>
      <c r="Q34">
        <f t="shared" si="0"/>
        <v>41</v>
      </c>
      <c r="R34">
        <f t="shared" si="1"/>
        <v>52</v>
      </c>
      <c r="S34">
        <f t="shared" si="2"/>
        <v>3</v>
      </c>
    </row>
    <row r="35" spans="1:19">
      <c r="A35">
        <v>31</v>
      </c>
      <c r="B35" s="68">
        <v>43455</v>
      </c>
      <c r="C35" t="s">
        <v>244</v>
      </c>
      <c r="D35" t="s">
        <v>245</v>
      </c>
      <c r="E35">
        <v>22</v>
      </c>
      <c r="F35">
        <v>35</v>
      </c>
      <c r="G35">
        <v>48</v>
      </c>
      <c r="H35">
        <v>65</v>
      </c>
      <c r="I35">
        <v>78</v>
      </c>
      <c r="J35">
        <v>93</v>
      </c>
      <c r="K35">
        <v>107</v>
      </c>
      <c r="L35">
        <v>120</v>
      </c>
      <c r="M35">
        <v>107</v>
      </c>
      <c r="N35">
        <v>120</v>
      </c>
      <c r="Q35">
        <f t="shared" si="0"/>
        <v>59</v>
      </c>
      <c r="R35">
        <f t="shared" si="1"/>
        <v>55</v>
      </c>
      <c r="S35">
        <f t="shared" si="2"/>
        <v>-17</v>
      </c>
    </row>
    <row r="36" spans="1:19">
      <c r="A36">
        <v>32</v>
      </c>
      <c r="B36" s="68">
        <v>43457</v>
      </c>
      <c r="C36" t="s">
        <v>244</v>
      </c>
      <c r="D36" t="s">
        <v>246</v>
      </c>
      <c r="E36">
        <v>29</v>
      </c>
      <c r="F36">
        <v>26</v>
      </c>
      <c r="G36">
        <v>68</v>
      </c>
      <c r="H36">
        <v>47</v>
      </c>
      <c r="I36">
        <v>94</v>
      </c>
      <c r="J36">
        <v>67</v>
      </c>
      <c r="K36">
        <v>119</v>
      </c>
      <c r="L36">
        <v>103</v>
      </c>
      <c r="M36">
        <v>119</v>
      </c>
      <c r="N36">
        <v>103</v>
      </c>
      <c r="Q36">
        <f t="shared" si="0"/>
        <v>51</v>
      </c>
      <c r="R36">
        <f t="shared" si="1"/>
        <v>56</v>
      </c>
      <c r="S36">
        <f t="shared" si="2"/>
        <v>21</v>
      </c>
    </row>
    <row r="37" spans="1:19">
      <c r="A37">
        <v>33</v>
      </c>
      <c r="B37" s="68">
        <v>43459</v>
      </c>
      <c r="C37" t="s">
        <v>244</v>
      </c>
      <c r="D37" t="s">
        <v>239</v>
      </c>
      <c r="E37">
        <v>32</v>
      </c>
      <c r="F37">
        <v>25</v>
      </c>
      <c r="G37">
        <v>57</v>
      </c>
      <c r="H37">
        <v>51</v>
      </c>
      <c r="I37">
        <v>86</v>
      </c>
      <c r="J37">
        <v>89</v>
      </c>
      <c r="K37">
        <v>108</v>
      </c>
      <c r="L37">
        <v>108</v>
      </c>
      <c r="M37">
        <v>121</v>
      </c>
      <c r="N37">
        <v>114</v>
      </c>
      <c r="O37">
        <v>121</v>
      </c>
      <c r="P37">
        <v>114</v>
      </c>
      <c r="Q37">
        <f t="shared" si="0"/>
        <v>64</v>
      </c>
      <c r="R37">
        <f t="shared" si="1"/>
        <v>63</v>
      </c>
      <c r="S37">
        <f t="shared" si="2"/>
        <v>6</v>
      </c>
    </row>
    <row r="38" spans="1:19">
      <c r="A38">
        <v>37</v>
      </c>
      <c r="B38" s="68">
        <v>43467</v>
      </c>
      <c r="C38" t="s">
        <v>244</v>
      </c>
      <c r="D38" t="s">
        <v>259</v>
      </c>
      <c r="E38">
        <v>25</v>
      </c>
      <c r="F38">
        <v>21</v>
      </c>
      <c r="G38">
        <v>60</v>
      </c>
      <c r="H38">
        <v>42</v>
      </c>
      <c r="I38">
        <v>87</v>
      </c>
      <c r="J38">
        <v>81</v>
      </c>
      <c r="K38">
        <v>115</v>
      </c>
      <c r="L38">
        <v>102</v>
      </c>
      <c r="M38">
        <v>115</v>
      </c>
      <c r="N38">
        <v>102</v>
      </c>
      <c r="Q38">
        <f t="shared" si="0"/>
        <v>55</v>
      </c>
      <c r="R38">
        <f t="shared" si="1"/>
        <v>60</v>
      </c>
      <c r="S38">
        <f t="shared" si="2"/>
        <v>18</v>
      </c>
    </row>
  </sheetData>
  <sortState xmlns:xlrd2="http://schemas.microsoft.com/office/spreadsheetml/2017/richdata2" ref="A2:R63">
    <sortCondition ref="C1"/>
  </sortState>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dimension ref="A1:R40"/>
  <sheetViews>
    <sheetView topLeftCell="A5" workbookViewId="0">
      <selection activeCell="B14" sqref="B14"/>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43392</v>
      </c>
      <c r="C2" t="s">
        <v>243</v>
      </c>
      <c r="D2" t="s">
        <v>261</v>
      </c>
      <c r="E2">
        <v>32</v>
      </c>
      <c r="F2">
        <v>34</v>
      </c>
      <c r="G2">
        <v>69</v>
      </c>
      <c r="H2">
        <v>81</v>
      </c>
      <c r="I2">
        <v>97</v>
      </c>
      <c r="J2">
        <v>103</v>
      </c>
      <c r="K2">
        <v>124</v>
      </c>
      <c r="L2">
        <v>123</v>
      </c>
      <c r="M2">
        <v>124</v>
      </c>
      <c r="N2">
        <v>123</v>
      </c>
    </row>
    <row r="3" spans="1:18">
      <c r="A3">
        <v>3</v>
      </c>
      <c r="B3" s="68">
        <v>43394</v>
      </c>
      <c r="C3" t="s">
        <v>243</v>
      </c>
      <c r="D3" t="s">
        <v>263</v>
      </c>
      <c r="E3">
        <v>25</v>
      </c>
      <c r="F3">
        <v>17</v>
      </c>
      <c r="G3">
        <v>49</v>
      </c>
      <c r="H3">
        <v>47</v>
      </c>
      <c r="I3">
        <v>70</v>
      </c>
      <c r="J3">
        <v>80</v>
      </c>
      <c r="K3">
        <v>98</v>
      </c>
      <c r="L3">
        <v>100</v>
      </c>
      <c r="M3">
        <v>98</v>
      </c>
      <c r="N3">
        <v>100</v>
      </c>
    </row>
    <row r="4" spans="1:18">
      <c r="A4">
        <v>6</v>
      </c>
      <c r="B4" s="68">
        <v>43399</v>
      </c>
      <c r="C4" t="s">
        <v>243</v>
      </c>
      <c r="D4" t="s">
        <v>254</v>
      </c>
      <c r="E4">
        <v>25</v>
      </c>
      <c r="F4">
        <v>25</v>
      </c>
      <c r="G4">
        <v>53</v>
      </c>
      <c r="H4">
        <v>53</v>
      </c>
      <c r="I4">
        <v>81</v>
      </c>
      <c r="J4">
        <v>84</v>
      </c>
      <c r="K4">
        <v>128</v>
      </c>
      <c r="L4">
        <v>100</v>
      </c>
      <c r="M4">
        <v>128</v>
      </c>
      <c r="N4">
        <v>100</v>
      </c>
    </row>
    <row r="5" spans="1:18">
      <c r="A5">
        <v>7</v>
      </c>
      <c r="B5" s="68">
        <v>43401</v>
      </c>
      <c r="C5" t="s">
        <v>243</v>
      </c>
      <c r="D5" t="s">
        <v>247</v>
      </c>
      <c r="E5">
        <v>32</v>
      </c>
      <c r="F5">
        <v>29</v>
      </c>
      <c r="G5">
        <v>63</v>
      </c>
      <c r="H5">
        <v>49</v>
      </c>
      <c r="I5">
        <v>93</v>
      </c>
      <c r="J5">
        <v>77</v>
      </c>
      <c r="K5">
        <v>120</v>
      </c>
      <c r="L5">
        <v>114</v>
      </c>
      <c r="M5">
        <v>120</v>
      </c>
      <c r="N5">
        <v>114</v>
      </c>
    </row>
    <row r="6" spans="1:18">
      <c r="A6">
        <v>8</v>
      </c>
      <c r="B6" s="68">
        <v>43402</v>
      </c>
      <c r="C6" t="s">
        <v>243</v>
      </c>
      <c r="D6" t="s">
        <v>267</v>
      </c>
      <c r="E6">
        <v>44</v>
      </c>
      <c r="F6">
        <v>28</v>
      </c>
      <c r="G6">
        <v>92</v>
      </c>
      <c r="H6">
        <v>50</v>
      </c>
      <c r="I6">
        <v>125</v>
      </c>
      <c r="J6">
        <v>89</v>
      </c>
      <c r="K6">
        <v>149</v>
      </c>
      <c r="L6">
        <v>124</v>
      </c>
      <c r="M6">
        <v>149</v>
      </c>
      <c r="N6">
        <v>124</v>
      </c>
    </row>
    <row r="7" spans="1:18">
      <c r="A7">
        <v>14</v>
      </c>
      <c r="B7" s="68">
        <v>43416</v>
      </c>
      <c r="C7" t="s">
        <v>243</v>
      </c>
      <c r="D7" t="s">
        <v>264</v>
      </c>
      <c r="E7">
        <v>30</v>
      </c>
      <c r="F7">
        <v>34</v>
      </c>
      <c r="G7">
        <v>61</v>
      </c>
      <c r="H7">
        <v>64</v>
      </c>
      <c r="I7">
        <v>81</v>
      </c>
      <c r="J7">
        <v>90</v>
      </c>
      <c r="K7">
        <v>106</v>
      </c>
      <c r="L7">
        <v>106</v>
      </c>
      <c r="M7">
        <v>116</v>
      </c>
      <c r="N7">
        <v>121</v>
      </c>
      <c r="O7">
        <v>116</v>
      </c>
      <c r="P7">
        <v>121</v>
      </c>
    </row>
    <row r="8" spans="1:18">
      <c r="A8">
        <v>16</v>
      </c>
      <c r="B8" s="68">
        <v>43419</v>
      </c>
      <c r="C8" t="s">
        <v>243</v>
      </c>
      <c r="D8" t="s">
        <v>258</v>
      </c>
      <c r="E8">
        <v>19</v>
      </c>
      <c r="F8">
        <v>25</v>
      </c>
      <c r="G8">
        <v>41</v>
      </c>
      <c r="H8">
        <v>47</v>
      </c>
      <c r="I8">
        <v>63</v>
      </c>
      <c r="J8">
        <v>76</v>
      </c>
      <c r="K8">
        <v>86</v>
      </c>
      <c r="L8">
        <v>107</v>
      </c>
      <c r="M8">
        <v>86</v>
      </c>
      <c r="N8">
        <v>107</v>
      </c>
    </row>
    <row r="9" spans="1:18">
      <c r="A9">
        <v>17</v>
      </c>
      <c r="B9" s="68">
        <v>43421</v>
      </c>
      <c r="C9" t="s">
        <v>243</v>
      </c>
      <c r="D9" t="s">
        <v>265</v>
      </c>
      <c r="E9">
        <v>22</v>
      </c>
      <c r="F9">
        <v>26</v>
      </c>
      <c r="G9">
        <v>59</v>
      </c>
      <c r="H9">
        <v>57</v>
      </c>
      <c r="I9">
        <v>86</v>
      </c>
      <c r="J9">
        <v>82</v>
      </c>
      <c r="K9">
        <v>109</v>
      </c>
      <c r="L9">
        <v>112</v>
      </c>
      <c r="M9">
        <v>109</v>
      </c>
      <c r="N9">
        <v>112</v>
      </c>
    </row>
    <row r="10" spans="1:18">
      <c r="A10">
        <v>18</v>
      </c>
      <c r="B10" s="68">
        <v>43422</v>
      </c>
      <c r="C10" t="s">
        <v>243</v>
      </c>
      <c r="D10" t="s">
        <v>260</v>
      </c>
      <c r="E10">
        <v>27</v>
      </c>
      <c r="F10">
        <v>33</v>
      </c>
      <c r="G10">
        <v>48</v>
      </c>
      <c r="H10">
        <v>56</v>
      </c>
      <c r="I10">
        <v>70</v>
      </c>
      <c r="J10">
        <v>79</v>
      </c>
      <c r="K10">
        <v>92</v>
      </c>
      <c r="L10">
        <v>104</v>
      </c>
      <c r="M10">
        <v>92</v>
      </c>
      <c r="N10">
        <v>104</v>
      </c>
    </row>
    <row r="11" spans="1:18">
      <c r="A11">
        <v>23</v>
      </c>
      <c r="B11" s="68">
        <v>43433</v>
      </c>
      <c r="C11" t="s">
        <v>243</v>
      </c>
      <c r="D11" t="s">
        <v>256</v>
      </c>
      <c r="E11">
        <v>25</v>
      </c>
      <c r="F11">
        <v>38</v>
      </c>
      <c r="G11">
        <v>58</v>
      </c>
      <c r="H11">
        <v>67</v>
      </c>
      <c r="I11">
        <v>88</v>
      </c>
      <c r="J11">
        <v>96</v>
      </c>
      <c r="K11">
        <v>119</v>
      </c>
      <c r="L11">
        <v>119</v>
      </c>
      <c r="M11">
        <v>128</v>
      </c>
      <c r="N11">
        <v>131</v>
      </c>
      <c r="O11">
        <v>128</v>
      </c>
      <c r="P11">
        <v>131</v>
      </c>
    </row>
    <row r="12" spans="1:18">
      <c r="A12">
        <v>24</v>
      </c>
      <c r="B12" s="68">
        <v>43435</v>
      </c>
      <c r="C12" t="s">
        <v>243</v>
      </c>
      <c r="D12" t="s">
        <v>248</v>
      </c>
      <c r="E12">
        <v>24</v>
      </c>
      <c r="F12">
        <v>24</v>
      </c>
      <c r="G12">
        <v>46</v>
      </c>
      <c r="H12">
        <v>54</v>
      </c>
      <c r="I12">
        <v>78</v>
      </c>
      <c r="J12">
        <v>85</v>
      </c>
      <c r="K12">
        <v>102</v>
      </c>
      <c r="L12">
        <v>111</v>
      </c>
      <c r="M12">
        <v>102</v>
      </c>
      <c r="N12">
        <v>111</v>
      </c>
    </row>
    <row r="13" spans="1:18">
      <c r="A13">
        <v>25</v>
      </c>
      <c r="B13" s="68">
        <v>43437</v>
      </c>
      <c r="C13" t="s">
        <v>243</v>
      </c>
      <c r="D13" t="s">
        <v>253</v>
      </c>
      <c r="E13">
        <v>34</v>
      </c>
      <c r="F13">
        <v>17</v>
      </c>
      <c r="G13">
        <v>61</v>
      </c>
      <c r="H13">
        <v>47</v>
      </c>
      <c r="I13">
        <v>97</v>
      </c>
      <c r="J13">
        <v>77</v>
      </c>
      <c r="K13">
        <v>128</v>
      </c>
      <c r="L13">
        <v>111</v>
      </c>
      <c r="M13">
        <v>128</v>
      </c>
      <c r="N13">
        <v>111</v>
      </c>
    </row>
    <row r="14" spans="1:18">
      <c r="A14">
        <v>26</v>
      </c>
      <c r="B14" s="68">
        <v>43439</v>
      </c>
      <c r="C14" t="s">
        <v>243</v>
      </c>
      <c r="D14" t="s">
        <v>255</v>
      </c>
      <c r="E14">
        <v>31</v>
      </c>
      <c r="F14">
        <v>25</v>
      </c>
      <c r="G14">
        <v>58</v>
      </c>
      <c r="H14">
        <v>64</v>
      </c>
      <c r="I14">
        <v>95</v>
      </c>
      <c r="J14">
        <v>86</v>
      </c>
      <c r="K14">
        <v>129</v>
      </c>
      <c r="L14">
        <v>105</v>
      </c>
      <c r="M14">
        <v>129</v>
      </c>
      <c r="N14">
        <v>105</v>
      </c>
    </row>
    <row r="15" spans="1:18">
      <c r="A15">
        <v>27</v>
      </c>
      <c r="B15" s="68">
        <v>43441</v>
      </c>
      <c r="C15" t="s">
        <v>243</v>
      </c>
      <c r="D15" t="s">
        <v>245</v>
      </c>
      <c r="E15">
        <v>27</v>
      </c>
      <c r="F15">
        <v>22</v>
      </c>
      <c r="G15">
        <v>57</v>
      </c>
      <c r="H15">
        <v>51</v>
      </c>
      <c r="I15">
        <v>83</v>
      </c>
      <c r="J15">
        <v>76</v>
      </c>
      <c r="K15">
        <v>105</v>
      </c>
      <c r="L15">
        <v>95</v>
      </c>
      <c r="M15">
        <v>105</v>
      </c>
      <c r="N15">
        <v>95</v>
      </c>
    </row>
    <row r="16" spans="1:18">
      <c r="A16">
        <v>30</v>
      </c>
      <c r="B16" s="68">
        <v>43448</v>
      </c>
      <c r="C16" t="s">
        <v>243</v>
      </c>
      <c r="D16" t="s">
        <v>262</v>
      </c>
      <c r="E16">
        <v>42</v>
      </c>
      <c r="F16">
        <v>38</v>
      </c>
      <c r="G16">
        <v>76</v>
      </c>
      <c r="H16">
        <v>64</v>
      </c>
      <c r="I16">
        <v>103</v>
      </c>
      <c r="J16">
        <v>97</v>
      </c>
      <c r="K16">
        <v>130</v>
      </c>
      <c r="L16">
        <v>125</v>
      </c>
      <c r="M16">
        <v>130</v>
      </c>
      <c r="N16">
        <v>125</v>
      </c>
    </row>
    <row r="17" spans="1:14">
      <c r="A17">
        <v>32</v>
      </c>
      <c r="B17" s="68">
        <v>43453</v>
      </c>
      <c r="C17" t="s">
        <v>243</v>
      </c>
      <c r="D17" t="s">
        <v>261</v>
      </c>
      <c r="E17">
        <v>21</v>
      </c>
      <c r="F17">
        <v>24</v>
      </c>
      <c r="G17">
        <v>55</v>
      </c>
      <c r="H17">
        <v>56</v>
      </c>
      <c r="I17">
        <v>80</v>
      </c>
      <c r="J17">
        <v>84</v>
      </c>
      <c r="K17">
        <v>103</v>
      </c>
      <c r="L17">
        <v>108</v>
      </c>
      <c r="M17">
        <v>103</v>
      </c>
      <c r="N17">
        <v>108</v>
      </c>
    </row>
    <row r="18" spans="1:14">
      <c r="A18">
        <v>37</v>
      </c>
      <c r="B18" s="68">
        <v>43463</v>
      </c>
      <c r="C18" t="s">
        <v>243</v>
      </c>
      <c r="D18" t="s">
        <v>270</v>
      </c>
      <c r="E18">
        <v>30</v>
      </c>
      <c r="F18">
        <v>27</v>
      </c>
      <c r="G18">
        <v>58</v>
      </c>
      <c r="H18">
        <v>50</v>
      </c>
      <c r="I18">
        <v>93</v>
      </c>
      <c r="J18">
        <v>83</v>
      </c>
      <c r="K18">
        <v>115</v>
      </c>
      <c r="L18">
        <v>105</v>
      </c>
      <c r="M18">
        <v>115</v>
      </c>
      <c r="N18">
        <v>105</v>
      </c>
    </row>
    <row r="19" spans="1:14">
      <c r="A19">
        <v>38</v>
      </c>
      <c r="B19" s="68">
        <v>43465</v>
      </c>
      <c r="C19" t="s">
        <v>243</v>
      </c>
      <c r="D19" t="s">
        <v>266</v>
      </c>
      <c r="E19">
        <v>31</v>
      </c>
      <c r="F19">
        <v>27</v>
      </c>
      <c r="G19">
        <v>69</v>
      </c>
      <c r="H19">
        <v>52</v>
      </c>
      <c r="I19">
        <v>108</v>
      </c>
      <c r="J19">
        <v>87</v>
      </c>
      <c r="K19">
        <v>132</v>
      </c>
      <c r="L19">
        <v>109</v>
      </c>
      <c r="M19">
        <v>132</v>
      </c>
      <c r="N19">
        <v>109</v>
      </c>
    </row>
    <row r="20" spans="1:14">
      <c r="A20">
        <v>1</v>
      </c>
      <c r="B20" s="68">
        <v>43389</v>
      </c>
      <c r="C20" t="s">
        <v>244</v>
      </c>
      <c r="D20" t="s">
        <v>241</v>
      </c>
      <c r="E20">
        <v>31</v>
      </c>
      <c r="F20">
        <v>23</v>
      </c>
      <c r="G20">
        <v>57</v>
      </c>
      <c r="H20">
        <v>47</v>
      </c>
      <c r="I20">
        <v>83</v>
      </c>
      <c r="J20">
        <v>79</v>
      </c>
      <c r="K20">
        <v>108</v>
      </c>
      <c r="L20">
        <v>100</v>
      </c>
      <c r="M20">
        <v>108</v>
      </c>
      <c r="N20">
        <v>100</v>
      </c>
    </row>
    <row r="21" spans="1:14">
      <c r="A21">
        <v>4</v>
      </c>
      <c r="B21" s="68">
        <v>43395</v>
      </c>
      <c r="C21" t="s">
        <v>244</v>
      </c>
      <c r="D21" t="s">
        <v>266</v>
      </c>
      <c r="E21">
        <v>32</v>
      </c>
      <c r="F21">
        <v>23</v>
      </c>
      <c r="G21">
        <v>70</v>
      </c>
      <c r="H21">
        <v>47</v>
      </c>
      <c r="I21">
        <v>106</v>
      </c>
      <c r="J21">
        <v>81</v>
      </c>
      <c r="K21">
        <v>123</v>
      </c>
      <c r="L21">
        <v>103</v>
      </c>
      <c r="M21">
        <v>123</v>
      </c>
      <c r="N21">
        <v>103</v>
      </c>
    </row>
    <row r="22" spans="1:14">
      <c r="A22">
        <v>5</v>
      </c>
      <c r="B22" s="68">
        <v>43397</v>
      </c>
      <c r="C22" t="s">
        <v>244</v>
      </c>
      <c r="D22" t="s">
        <v>268</v>
      </c>
      <c r="E22">
        <v>46</v>
      </c>
      <c r="F22">
        <v>37</v>
      </c>
      <c r="G22">
        <v>80</v>
      </c>
      <c r="H22">
        <v>71</v>
      </c>
      <c r="I22">
        <v>115</v>
      </c>
      <c r="J22">
        <v>97</v>
      </c>
      <c r="K22">
        <v>144</v>
      </c>
      <c r="L22">
        <v>122</v>
      </c>
      <c r="M22">
        <v>144</v>
      </c>
      <c r="N22">
        <v>122</v>
      </c>
    </row>
    <row r="23" spans="1:14">
      <c r="A23">
        <v>9</v>
      </c>
      <c r="B23" s="68">
        <v>43404</v>
      </c>
      <c r="C23" t="s">
        <v>244</v>
      </c>
      <c r="D23" t="s">
        <v>257</v>
      </c>
      <c r="E23">
        <v>43</v>
      </c>
      <c r="F23">
        <v>37</v>
      </c>
      <c r="G23">
        <v>70</v>
      </c>
      <c r="H23">
        <v>63</v>
      </c>
      <c r="I23">
        <v>107</v>
      </c>
      <c r="J23">
        <v>92</v>
      </c>
      <c r="K23">
        <v>131</v>
      </c>
      <c r="L23">
        <v>121</v>
      </c>
      <c r="M23">
        <v>131</v>
      </c>
      <c r="N23">
        <v>121</v>
      </c>
    </row>
    <row r="24" spans="1:14">
      <c r="A24">
        <v>10</v>
      </c>
      <c r="B24" s="68">
        <v>43406</v>
      </c>
      <c r="C24" t="s">
        <v>244</v>
      </c>
      <c r="D24" t="s">
        <v>259</v>
      </c>
      <c r="E24">
        <v>36</v>
      </c>
      <c r="F24">
        <v>32</v>
      </c>
      <c r="G24">
        <v>61</v>
      </c>
      <c r="H24">
        <v>58</v>
      </c>
      <c r="I24">
        <v>83</v>
      </c>
      <c r="J24">
        <v>87</v>
      </c>
      <c r="K24">
        <v>116</v>
      </c>
      <c r="L24">
        <v>99</v>
      </c>
      <c r="M24">
        <v>116</v>
      </c>
      <c r="N24">
        <v>99</v>
      </c>
    </row>
    <row r="25" spans="1:14">
      <c r="A25">
        <v>11</v>
      </c>
      <c r="B25" s="68">
        <v>43409</v>
      </c>
      <c r="C25" t="s">
        <v>244</v>
      </c>
      <c r="D25" t="s">
        <v>249</v>
      </c>
      <c r="E25">
        <v>29</v>
      </c>
      <c r="F25">
        <v>31</v>
      </c>
      <c r="G25">
        <v>58</v>
      </c>
      <c r="H25">
        <v>58</v>
      </c>
      <c r="I25">
        <v>92</v>
      </c>
      <c r="J25">
        <v>73</v>
      </c>
      <c r="K25">
        <v>117</v>
      </c>
      <c r="L25">
        <v>101</v>
      </c>
      <c r="M25">
        <v>117</v>
      </c>
      <c r="N25">
        <v>101</v>
      </c>
    </row>
    <row r="26" spans="1:14">
      <c r="A26">
        <v>12</v>
      </c>
      <c r="B26" s="68">
        <v>43412</v>
      </c>
      <c r="C26" t="s">
        <v>244</v>
      </c>
      <c r="D26" t="s">
        <v>245</v>
      </c>
      <c r="E26">
        <v>29</v>
      </c>
      <c r="F26">
        <v>32</v>
      </c>
      <c r="G26">
        <v>51</v>
      </c>
      <c r="H26">
        <v>64</v>
      </c>
      <c r="I26">
        <v>79</v>
      </c>
      <c r="J26">
        <v>105</v>
      </c>
      <c r="K26">
        <v>111</v>
      </c>
      <c r="L26">
        <v>134</v>
      </c>
      <c r="M26">
        <v>111</v>
      </c>
      <c r="N26">
        <v>134</v>
      </c>
    </row>
    <row r="27" spans="1:14">
      <c r="A27">
        <v>13</v>
      </c>
      <c r="B27" s="68">
        <v>43414</v>
      </c>
      <c r="C27" t="s">
        <v>244</v>
      </c>
      <c r="D27" t="s">
        <v>247</v>
      </c>
      <c r="E27">
        <v>36</v>
      </c>
      <c r="F27">
        <v>30</v>
      </c>
      <c r="G27">
        <v>65</v>
      </c>
      <c r="H27">
        <v>53</v>
      </c>
      <c r="I27">
        <v>94</v>
      </c>
      <c r="J27">
        <v>74</v>
      </c>
      <c r="K27">
        <v>116</v>
      </c>
      <c r="L27">
        <v>100</v>
      </c>
      <c r="M27">
        <v>116</v>
      </c>
      <c r="N27">
        <v>100</v>
      </c>
    </row>
    <row r="28" spans="1:14">
      <c r="A28">
        <v>15</v>
      </c>
      <c r="B28" s="68">
        <v>43417</v>
      </c>
      <c r="C28" t="s">
        <v>244</v>
      </c>
      <c r="D28" t="s">
        <v>253</v>
      </c>
      <c r="E28">
        <v>20</v>
      </c>
      <c r="F28">
        <v>23</v>
      </c>
      <c r="G28">
        <v>49</v>
      </c>
      <c r="H28">
        <v>52</v>
      </c>
      <c r="I28">
        <v>82</v>
      </c>
      <c r="J28">
        <v>76</v>
      </c>
      <c r="K28">
        <v>110</v>
      </c>
      <c r="L28">
        <v>103</v>
      </c>
      <c r="M28">
        <v>110</v>
      </c>
      <c r="N28">
        <v>103</v>
      </c>
    </row>
    <row r="29" spans="1:14">
      <c r="A29">
        <v>19</v>
      </c>
      <c r="B29" s="68">
        <v>43425</v>
      </c>
      <c r="C29" t="s">
        <v>244</v>
      </c>
      <c r="D29" t="s">
        <v>241</v>
      </c>
      <c r="E29">
        <v>18</v>
      </c>
      <c r="F29">
        <v>23</v>
      </c>
      <c r="G29">
        <v>46</v>
      </c>
      <c r="H29">
        <v>60</v>
      </c>
      <c r="I29">
        <v>79</v>
      </c>
      <c r="J29">
        <v>87</v>
      </c>
      <c r="K29">
        <v>95</v>
      </c>
      <c r="L29">
        <v>123</v>
      </c>
      <c r="M29">
        <v>95</v>
      </c>
      <c r="N29">
        <v>123</v>
      </c>
    </row>
    <row r="30" spans="1:14">
      <c r="A30">
        <v>20</v>
      </c>
      <c r="B30" s="68">
        <v>43427</v>
      </c>
      <c r="C30" t="s">
        <v>244</v>
      </c>
      <c r="D30" t="s">
        <v>270</v>
      </c>
      <c r="E30">
        <v>24</v>
      </c>
      <c r="F30">
        <v>27</v>
      </c>
      <c r="G30">
        <v>59</v>
      </c>
      <c r="H30">
        <v>44</v>
      </c>
      <c r="I30">
        <v>92</v>
      </c>
      <c r="J30">
        <v>73</v>
      </c>
      <c r="K30">
        <v>125</v>
      </c>
      <c r="L30">
        <v>97</v>
      </c>
      <c r="M30">
        <v>125</v>
      </c>
      <c r="N30">
        <v>97</v>
      </c>
    </row>
    <row r="31" spans="1:14">
      <c r="A31">
        <v>21</v>
      </c>
      <c r="B31" s="68">
        <v>43428</v>
      </c>
      <c r="C31" t="s">
        <v>244</v>
      </c>
      <c r="D31" t="s">
        <v>262</v>
      </c>
      <c r="E31">
        <v>28</v>
      </c>
      <c r="F31">
        <v>29</v>
      </c>
      <c r="G31">
        <v>60</v>
      </c>
      <c r="H31">
        <v>64</v>
      </c>
      <c r="I31">
        <v>95</v>
      </c>
      <c r="J31">
        <v>93</v>
      </c>
      <c r="K31">
        <v>117</v>
      </c>
      <c r="L31">
        <v>116</v>
      </c>
      <c r="M31">
        <v>117</v>
      </c>
      <c r="N31">
        <v>116</v>
      </c>
    </row>
    <row r="32" spans="1:14">
      <c r="A32">
        <v>22</v>
      </c>
      <c r="B32" s="68">
        <v>43430</v>
      </c>
      <c r="C32" t="s">
        <v>244</v>
      </c>
      <c r="D32" t="s">
        <v>252</v>
      </c>
      <c r="E32">
        <v>26</v>
      </c>
      <c r="F32">
        <v>25</v>
      </c>
      <c r="G32">
        <v>47</v>
      </c>
      <c r="H32">
        <v>64</v>
      </c>
      <c r="I32">
        <v>79</v>
      </c>
      <c r="J32">
        <v>83</v>
      </c>
      <c r="K32">
        <v>116</v>
      </c>
      <c r="L32">
        <v>110</v>
      </c>
      <c r="M32">
        <v>116</v>
      </c>
      <c r="N32">
        <v>110</v>
      </c>
    </row>
    <row r="33" spans="1:16">
      <c r="A33">
        <v>28</v>
      </c>
      <c r="B33" s="68">
        <v>43444</v>
      </c>
      <c r="C33" t="s">
        <v>244</v>
      </c>
      <c r="D33" t="s">
        <v>259</v>
      </c>
      <c r="E33">
        <v>30</v>
      </c>
      <c r="F33">
        <v>24</v>
      </c>
      <c r="G33">
        <v>63</v>
      </c>
      <c r="H33">
        <v>57</v>
      </c>
      <c r="I33">
        <v>91</v>
      </c>
      <c r="J33">
        <v>77</v>
      </c>
      <c r="K33">
        <v>116</v>
      </c>
      <c r="L33">
        <v>108</v>
      </c>
      <c r="M33">
        <v>116</v>
      </c>
      <c r="N33">
        <v>108</v>
      </c>
    </row>
    <row r="34" spans="1:16">
      <c r="A34">
        <v>29</v>
      </c>
      <c r="B34" s="68">
        <v>43446</v>
      </c>
      <c r="C34" t="s">
        <v>244</v>
      </c>
      <c r="D34" t="s">
        <v>256</v>
      </c>
      <c r="E34">
        <v>22</v>
      </c>
      <c r="F34">
        <v>31</v>
      </c>
      <c r="G34">
        <v>41</v>
      </c>
      <c r="H34">
        <v>57</v>
      </c>
      <c r="I34">
        <v>67</v>
      </c>
      <c r="J34">
        <v>82</v>
      </c>
      <c r="K34">
        <v>93</v>
      </c>
      <c r="L34">
        <v>113</v>
      </c>
      <c r="M34">
        <v>93</v>
      </c>
      <c r="N34">
        <v>113</v>
      </c>
    </row>
    <row r="35" spans="1:16">
      <c r="A35">
        <v>31</v>
      </c>
      <c r="B35" s="68">
        <v>43451</v>
      </c>
      <c r="C35" t="s">
        <v>244</v>
      </c>
      <c r="D35" t="s">
        <v>249</v>
      </c>
      <c r="E35">
        <v>30</v>
      </c>
      <c r="F35">
        <v>22</v>
      </c>
      <c r="G35">
        <v>61</v>
      </c>
      <c r="H35">
        <v>38</v>
      </c>
      <c r="I35">
        <v>84</v>
      </c>
      <c r="J35">
        <v>67</v>
      </c>
      <c r="K35">
        <v>110</v>
      </c>
      <c r="L35">
        <v>93</v>
      </c>
      <c r="M35">
        <v>110</v>
      </c>
      <c r="N35">
        <v>93</v>
      </c>
    </row>
    <row r="36" spans="1:16">
      <c r="A36">
        <v>33</v>
      </c>
      <c r="B36" s="68">
        <v>43456</v>
      </c>
      <c r="C36" t="s">
        <v>244</v>
      </c>
      <c r="D36" t="s">
        <v>265</v>
      </c>
      <c r="E36">
        <v>28</v>
      </c>
      <c r="F36">
        <v>31</v>
      </c>
      <c r="G36">
        <v>58</v>
      </c>
      <c r="H36">
        <v>61</v>
      </c>
      <c r="I36">
        <v>94</v>
      </c>
      <c r="J36">
        <v>87</v>
      </c>
      <c r="K36">
        <v>120</v>
      </c>
      <c r="L36">
        <v>116</v>
      </c>
      <c r="M36">
        <v>120</v>
      </c>
      <c r="N36">
        <v>116</v>
      </c>
    </row>
    <row r="37" spans="1:16">
      <c r="A37">
        <v>34</v>
      </c>
      <c r="B37" s="68">
        <v>43457</v>
      </c>
      <c r="C37" t="s">
        <v>244</v>
      </c>
      <c r="D37" t="s">
        <v>264</v>
      </c>
      <c r="E37">
        <v>36</v>
      </c>
      <c r="F37">
        <v>36</v>
      </c>
      <c r="G37">
        <v>67</v>
      </c>
      <c r="H37">
        <v>71</v>
      </c>
      <c r="I37">
        <v>103</v>
      </c>
      <c r="J37">
        <v>94</v>
      </c>
      <c r="K37">
        <v>129</v>
      </c>
      <c r="L37">
        <v>127</v>
      </c>
      <c r="M37">
        <v>129</v>
      </c>
      <c r="N37">
        <v>127</v>
      </c>
    </row>
    <row r="38" spans="1:16">
      <c r="A38">
        <v>35</v>
      </c>
      <c r="B38" s="68">
        <v>43459</v>
      </c>
      <c r="C38" t="s">
        <v>244</v>
      </c>
      <c r="D38" t="s">
        <v>269</v>
      </c>
      <c r="E38">
        <v>25</v>
      </c>
      <c r="F38">
        <v>32</v>
      </c>
      <c r="G38">
        <v>50</v>
      </c>
      <c r="H38">
        <v>65</v>
      </c>
      <c r="I38">
        <v>82</v>
      </c>
      <c r="J38">
        <v>91</v>
      </c>
      <c r="K38">
        <v>101</v>
      </c>
      <c r="L38">
        <v>127</v>
      </c>
      <c r="M38">
        <v>101</v>
      </c>
      <c r="N38">
        <v>127</v>
      </c>
    </row>
    <row r="39" spans="1:16">
      <c r="A39">
        <v>36</v>
      </c>
      <c r="B39" s="68">
        <v>43461</v>
      </c>
      <c r="C39" t="s">
        <v>244</v>
      </c>
      <c r="D39" t="s">
        <v>270</v>
      </c>
      <c r="E39">
        <v>28</v>
      </c>
      <c r="F39">
        <v>27</v>
      </c>
      <c r="G39">
        <v>46</v>
      </c>
      <c r="H39">
        <v>52</v>
      </c>
      <c r="I39">
        <v>71</v>
      </c>
      <c r="J39">
        <v>75</v>
      </c>
      <c r="K39">
        <v>102</v>
      </c>
      <c r="L39">
        <v>102</v>
      </c>
      <c r="M39">
        <v>109</v>
      </c>
      <c r="N39">
        <v>110</v>
      </c>
      <c r="O39">
        <v>109</v>
      </c>
      <c r="P39">
        <v>110</v>
      </c>
    </row>
    <row r="40" spans="1:16">
      <c r="A40">
        <v>39</v>
      </c>
      <c r="B40" s="68">
        <v>43468</v>
      </c>
      <c r="C40" t="s">
        <v>244</v>
      </c>
      <c r="D40" t="s">
        <v>258</v>
      </c>
      <c r="E40">
        <v>34</v>
      </c>
      <c r="F40">
        <v>22</v>
      </c>
      <c r="G40">
        <v>70</v>
      </c>
      <c r="H40">
        <v>53</v>
      </c>
      <c r="I40">
        <v>98</v>
      </c>
      <c r="J40">
        <v>92</v>
      </c>
      <c r="K40">
        <v>119</v>
      </c>
      <c r="L40">
        <v>119</v>
      </c>
      <c r="M40">
        <v>134</v>
      </c>
      <c r="N40">
        <v>135</v>
      </c>
      <c r="O40">
        <v>134</v>
      </c>
      <c r="P40">
        <v>135</v>
      </c>
    </row>
  </sheetData>
  <sortState xmlns:xlrd2="http://schemas.microsoft.com/office/spreadsheetml/2017/richdata2" ref="A2:R66">
    <sortCondition ref="C1"/>
  </sortState>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9"/>
  <dimension ref="A1:R38"/>
  <sheetViews>
    <sheetView topLeftCell="V1" workbookViewId="0">
      <selection activeCell="AA5" sqref="AA5"/>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1796875" customWidth="1"/>
    <col min="20" max="20" width="19.26953125" customWidth="1"/>
    <col min="21" max="21" width="23" customWidth="1"/>
    <col min="22" max="22" width="20.08984375" customWidth="1"/>
    <col min="23" max="23" width="22.90625" customWidth="1"/>
    <col min="24" max="24" width="19.54296875" customWidth="1"/>
    <col min="25" max="25" width="24.08984375" customWidth="1"/>
    <col min="26" max="26" width="21.6328125" customWidth="1"/>
    <col min="27" max="27" width="25.542968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2</v>
      </c>
      <c r="B2" s="68">
        <v>43393</v>
      </c>
      <c r="C2" t="s">
        <v>243</v>
      </c>
      <c r="D2" t="s">
        <v>269</v>
      </c>
      <c r="E2">
        <v>31</v>
      </c>
      <c r="F2">
        <v>28</v>
      </c>
      <c r="G2">
        <v>66</v>
      </c>
      <c r="H2">
        <v>62</v>
      </c>
      <c r="I2">
        <v>98</v>
      </c>
      <c r="J2">
        <v>97</v>
      </c>
      <c r="K2">
        <v>124</v>
      </c>
      <c r="L2">
        <v>115</v>
      </c>
      <c r="M2">
        <v>124</v>
      </c>
      <c r="N2">
        <v>115</v>
      </c>
    </row>
    <row r="3" spans="1:18">
      <c r="A3">
        <v>3</v>
      </c>
      <c r="B3" s="68">
        <v>43394</v>
      </c>
      <c r="C3" t="s">
        <v>243</v>
      </c>
      <c r="D3" t="s">
        <v>264</v>
      </c>
      <c r="E3">
        <v>24</v>
      </c>
      <c r="F3">
        <v>29</v>
      </c>
      <c r="G3">
        <v>53</v>
      </c>
      <c r="H3">
        <v>54</v>
      </c>
      <c r="I3">
        <v>84</v>
      </c>
      <c r="J3">
        <v>93</v>
      </c>
      <c r="K3">
        <v>112</v>
      </c>
      <c r="L3">
        <v>115</v>
      </c>
      <c r="M3">
        <v>112</v>
      </c>
      <c r="N3">
        <v>115</v>
      </c>
    </row>
    <row r="4" spans="1:18">
      <c r="A4">
        <v>7</v>
      </c>
      <c r="B4" s="68">
        <v>43406</v>
      </c>
      <c r="C4" t="s">
        <v>243</v>
      </c>
      <c r="D4" t="s">
        <v>247</v>
      </c>
      <c r="E4">
        <v>25</v>
      </c>
      <c r="F4">
        <v>32</v>
      </c>
      <c r="G4">
        <v>56</v>
      </c>
      <c r="H4">
        <v>61</v>
      </c>
      <c r="I4">
        <v>91</v>
      </c>
      <c r="J4">
        <v>86</v>
      </c>
      <c r="K4">
        <v>119</v>
      </c>
      <c r="L4">
        <v>111</v>
      </c>
      <c r="M4">
        <v>119</v>
      </c>
      <c r="N4">
        <v>111</v>
      </c>
    </row>
    <row r="5" spans="1:18">
      <c r="A5">
        <v>8</v>
      </c>
      <c r="B5" s="68">
        <v>43407</v>
      </c>
      <c r="C5" t="s">
        <v>243</v>
      </c>
      <c r="D5" t="s">
        <v>267</v>
      </c>
      <c r="E5">
        <v>27</v>
      </c>
      <c r="F5">
        <v>28</v>
      </c>
      <c r="G5">
        <v>54</v>
      </c>
      <c r="H5">
        <v>56</v>
      </c>
      <c r="I5">
        <v>75</v>
      </c>
      <c r="J5">
        <v>63</v>
      </c>
      <c r="K5">
        <v>96</v>
      </c>
      <c r="L5">
        <v>88</v>
      </c>
      <c r="M5">
        <v>96</v>
      </c>
      <c r="N5">
        <v>88</v>
      </c>
    </row>
    <row r="6" spans="1:18">
      <c r="A6">
        <v>9</v>
      </c>
      <c r="B6" s="68">
        <v>43409</v>
      </c>
      <c r="C6" t="s">
        <v>243</v>
      </c>
      <c r="D6" t="s">
        <v>250</v>
      </c>
      <c r="E6">
        <v>29</v>
      </c>
      <c r="F6">
        <v>22</v>
      </c>
      <c r="G6">
        <v>53</v>
      </c>
      <c r="H6">
        <v>55</v>
      </c>
      <c r="I6">
        <v>69</v>
      </c>
      <c r="J6">
        <v>75</v>
      </c>
      <c r="K6">
        <v>98</v>
      </c>
      <c r="L6">
        <v>94</v>
      </c>
      <c r="M6">
        <v>98</v>
      </c>
      <c r="N6">
        <v>94</v>
      </c>
    </row>
    <row r="7" spans="1:18">
      <c r="A7">
        <v>10</v>
      </c>
      <c r="B7" s="68">
        <v>43412</v>
      </c>
      <c r="C7" t="s">
        <v>243</v>
      </c>
      <c r="D7" t="s">
        <v>241</v>
      </c>
      <c r="E7">
        <v>19</v>
      </c>
      <c r="F7">
        <v>29</v>
      </c>
      <c r="G7">
        <v>45</v>
      </c>
      <c r="H7">
        <v>59</v>
      </c>
      <c r="I7">
        <v>60</v>
      </c>
      <c r="J7">
        <v>80</v>
      </c>
      <c r="K7">
        <v>80</v>
      </c>
      <c r="L7">
        <v>98</v>
      </c>
      <c r="M7">
        <v>80</v>
      </c>
      <c r="N7">
        <v>98</v>
      </c>
    </row>
    <row r="8" spans="1:18">
      <c r="A8">
        <v>11</v>
      </c>
      <c r="B8" s="68">
        <v>43414</v>
      </c>
      <c r="C8" t="s">
        <v>243</v>
      </c>
      <c r="D8" t="s">
        <v>260</v>
      </c>
      <c r="E8">
        <v>21</v>
      </c>
      <c r="F8">
        <v>20</v>
      </c>
      <c r="G8">
        <v>50</v>
      </c>
      <c r="H8">
        <v>52</v>
      </c>
      <c r="I8">
        <v>71</v>
      </c>
      <c r="J8">
        <v>72</v>
      </c>
      <c r="K8">
        <v>89</v>
      </c>
      <c r="L8">
        <v>96</v>
      </c>
      <c r="M8">
        <v>89</v>
      </c>
      <c r="N8">
        <v>96</v>
      </c>
    </row>
    <row r="9" spans="1:18">
      <c r="A9">
        <v>13</v>
      </c>
      <c r="B9" s="68">
        <v>43417</v>
      </c>
      <c r="C9" t="s">
        <v>243</v>
      </c>
      <c r="D9" t="s">
        <v>263</v>
      </c>
      <c r="E9">
        <v>27</v>
      </c>
      <c r="F9">
        <v>30</v>
      </c>
      <c r="G9">
        <v>54</v>
      </c>
      <c r="H9">
        <v>55</v>
      </c>
      <c r="I9">
        <v>86</v>
      </c>
      <c r="J9">
        <v>76</v>
      </c>
      <c r="K9">
        <v>109</v>
      </c>
      <c r="L9">
        <v>99</v>
      </c>
      <c r="M9">
        <v>109</v>
      </c>
      <c r="N9">
        <v>99</v>
      </c>
    </row>
    <row r="10" spans="1:18">
      <c r="A10">
        <v>17</v>
      </c>
      <c r="B10" s="68">
        <v>43427</v>
      </c>
      <c r="C10" t="s">
        <v>243</v>
      </c>
      <c r="D10" t="s">
        <v>248</v>
      </c>
      <c r="E10">
        <v>30</v>
      </c>
      <c r="F10">
        <v>34</v>
      </c>
      <c r="G10">
        <v>56</v>
      </c>
      <c r="H10">
        <v>61</v>
      </c>
      <c r="I10">
        <v>79</v>
      </c>
      <c r="J10">
        <v>78</v>
      </c>
      <c r="K10">
        <v>98</v>
      </c>
      <c r="L10">
        <v>98</v>
      </c>
      <c r="M10">
        <v>111</v>
      </c>
      <c r="N10">
        <v>116</v>
      </c>
      <c r="O10">
        <v>111</v>
      </c>
      <c r="P10">
        <v>116</v>
      </c>
    </row>
    <row r="11" spans="1:18">
      <c r="A11">
        <v>18</v>
      </c>
      <c r="B11" s="68">
        <v>43428</v>
      </c>
      <c r="C11" t="s">
        <v>243</v>
      </c>
      <c r="D11" t="s">
        <v>255</v>
      </c>
      <c r="E11">
        <v>30</v>
      </c>
      <c r="F11">
        <v>29</v>
      </c>
      <c r="G11">
        <v>58</v>
      </c>
      <c r="H11">
        <v>63</v>
      </c>
      <c r="I11">
        <v>83</v>
      </c>
      <c r="J11">
        <v>93</v>
      </c>
      <c r="K11">
        <v>108</v>
      </c>
      <c r="L11">
        <v>117</v>
      </c>
      <c r="M11">
        <v>108</v>
      </c>
      <c r="N11">
        <v>117</v>
      </c>
    </row>
    <row r="12" spans="1:18">
      <c r="A12">
        <v>19</v>
      </c>
      <c r="B12" s="68">
        <v>43430</v>
      </c>
      <c r="C12" t="s">
        <v>243</v>
      </c>
      <c r="D12" t="s">
        <v>268</v>
      </c>
      <c r="E12">
        <v>42</v>
      </c>
      <c r="F12">
        <v>30</v>
      </c>
      <c r="G12">
        <v>65</v>
      </c>
      <c r="H12">
        <v>67</v>
      </c>
      <c r="I12">
        <v>98</v>
      </c>
      <c r="J12">
        <v>94</v>
      </c>
      <c r="K12">
        <v>125</v>
      </c>
      <c r="L12">
        <v>125</v>
      </c>
      <c r="M12">
        <v>131</v>
      </c>
      <c r="N12">
        <v>135</v>
      </c>
      <c r="O12">
        <v>131</v>
      </c>
      <c r="P12">
        <v>135</v>
      </c>
    </row>
    <row r="13" spans="1:18">
      <c r="A13">
        <v>21</v>
      </c>
      <c r="B13" s="68">
        <v>43434</v>
      </c>
      <c r="C13" t="s">
        <v>243</v>
      </c>
      <c r="D13" t="s">
        <v>260</v>
      </c>
      <c r="E13">
        <v>39</v>
      </c>
      <c r="F13">
        <v>23</v>
      </c>
      <c r="G13">
        <v>70</v>
      </c>
      <c r="H13">
        <v>47</v>
      </c>
      <c r="I13">
        <v>110</v>
      </c>
      <c r="J13">
        <v>74</v>
      </c>
      <c r="K13">
        <v>136</v>
      </c>
      <c r="L13">
        <v>105</v>
      </c>
      <c r="M13">
        <v>136</v>
      </c>
      <c r="N13">
        <v>105</v>
      </c>
    </row>
    <row r="14" spans="1:18">
      <c r="A14">
        <v>23</v>
      </c>
      <c r="B14" s="68">
        <v>43437</v>
      </c>
      <c r="C14" t="s">
        <v>243</v>
      </c>
      <c r="D14" t="s">
        <v>259</v>
      </c>
      <c r="E14">
        <v>24</v>
      </c>
      <c r="F14">
        <v>24</v>
      </c>
      <c r="G14">
        <v>62</v>
      </c>
      <c r="H14">
        <v>48</v>
      </c>
      <c r="I14">
        <v>82</v>
      </c>
      <c r="J14">
        <v>86</v>
      </c>
      <c r="K14">
        <v>91</v>
      </c>
      <c r="L14">
        <v>103</v>
      </c>
      <c r="M14">
        <v>91</v>
      </c>
      <c r="N14">
        <v>103</v>
      </c>
    </row>
    <row r="15" spans="1:18">
      <c r="A15">
        <v>24</v>
      </c>
      <c r="B15" s="68">
        <v>43440</v>
      </c>
      <c r="C15" t="s">
        <v>243</v>
      </c>
      <c r="D15" t="s">
        <v>261</v>
      </c>
      <c r="E15">
        <v>18</v>
      </c>
      <c r="F15">
        <v>27</v>
      </c>
      <c r="G15">
        <v>45</v>
      </c>
      <c r="H15">
        <v>53</v>
      </c>
      <c r="I15">
        <v>56</v>
      </c>
      <c r="J15">
        <v>91</v>
      </c>
      <c r="K15">
        <v>91</v>
      </c>
      <c r="L15">
        <v>118</v>
      </c>
      <c r="M15">
        <v>91</v>
      </c>
      <c r="N15">
        <v>118</v>
      </c>
    </row>
    <row r="16" spans="1:18">
      <c r="A16">
        <v>25</v>
      </c>
      <c r="B16" s="68">
        <v>43442</v>
      </c>
      <c r="C16" t="s">
        <v>243</v>
      </c>
      <c r="D16" t="s">
        <v>265</v>
      </c>
      <c r="E16">
        <v>30</v>
      </c>
      <c r="F16">
        <v>32</v>
      </c>
      <c r="G16">
        <v>57</v>
      </c>
      <c r="H16">
        <v>56</v>
      </c>
      <c r="I16">
        <v>84</v>
      </c>
      <c r="J16">
        <v>84</v>
      </c>
      <c r="K16">
        <v>104</v>
      </c>
      <c r="L16">
        <v>107</v>
      </c>
      <c r="M16">
        <v>104</v>
      </c>
      <c r="N16">
        <v>107</v>
      </c>
    </row>
    <row r="17" spans="1:16">
      <c r="A17">
        <v>28</v>
      </c>
      <c r="B17" s="68">
        <v>43449</v>
      </c>
      <c r="C17" t="s">
        <v>243</v>
      </c>
      <c r="D17" t="s">
        <v>249</v>
      </c>
      <c r="E17">
        <v>36</v>
      </c>
      <c r="F17">
        <v>29</v>
      </c>
      <c r="G17">
        <v>61</v>
      </c>
      <c r="H17">
        <v>40</v>
      </c>
      <c r="I17">
        <v>79</v>
      </c>
      <c r="J17">
        <v>65</v>
      </c>
      <c r="K17">
        <v>105</v>
      </c>
      <c r="L17">
        <v>97</v>
      </c>
      <c r="M17">
        <v>105</v>
      </c>
      <c r="N17">
        <v>97</v>
      </c>
    </row>
    <row r="18" spans="1:16">
      <c r="A18">
        <v>31</v>
      </c>
      <c r="B18" s="68">
        <v>43454</v>
      </c>
      <c r="C18" t="s">
        <v>243</v>
      </c>
      <c r="D18" t="s">
        <v>251</v>
      </c>
      <c r="E18">
        <v>33</v>
      </c>
      <c r="F18">
        <v>21</v>
      </c>
      <c r="G18">
        <v>58</v>
      </c>
      <c r="H18">
        <v>53</v>
      </c>
      <c r="I18">
        <v>76</v>
      </c>
      <c r="J18">
        <v>82</v>
      </c>
      <c r="K18">
        <v>99</v>
      </c>
      <c r="L18">
        <v>101</v>
      </c>
      <c r="M18">
        <v>99</v>
      </c>
      <c r="N18">
        <v>101</v>
      </c>
    </row>
    <row r="19" spans="1:16">
      <c r="A19">
        <v>35</v>
      </c>
      <c r="B19" s="68">
        <v>43463</v>
      </c>
      <c r="C19" t="s">
        <v>243</v>
      </c>
      <c r="D19" t="s">
        <v>257</v>
      </c>
      <c r="E19">
        <v>30</v>
      </c>
      <c r="F19">
        <v>20</v>
      </c>
      <c r="G19">
        <v>53</v>
      </c>
      <c r="H19">
        <v>50</v>
      </c>
      <c r="I19">
        <v>77</v>
      </c>
      <c r="J19">
        <v>76</v>
      </c>
      <c r="K19">
        <v>108</v>
      </c>
      <c r="L19">
        <v>104</v>
      </c>
      <c r="M19">
        <v>108</v>
      </c>
      <c r="N19">
        <v>104</v>
      </c>
    </row>
    <row r="20" spans="1:16">
      <c r="A20">
        <v>37</v>
      </c>
      <c r="B20" s="68">
        <v>43468</v>
      </c>
      <c r="C20" t="s">
        <v>243</v>
      </c>
      <c r="D20" t="s">
        <v>242</v>
      </c>
      <c r="E20">
        <v>22</v>
      </c>
      <c r="F20">
        <v>34</v>
      </c>
      <c r="G20">
        <v>53</v>
      </c>
      <c r="H20">
        <v>70</v>
      </c>
      <c r="I20">
        <v>92</v>
      </c>
      <c r="J20">
        <v>98</v>
      </c>
      <c r="K20">
        <v>119</v>
      </c>
      <c r="L20">
        <v>119</v>
      </c>
      <c r="M20">
        <v>135</v>
      </c>
      <c r="N20">
        <v>134</v>
      </c>
      <c r="O20">
        <v>135</v>
      </c>
      <c r="P20">
        <v>134</v>
      </c>
    </row>
    <row r="21" spans="1:16">
      <c r="A21">
        <v>1</v>
      </c>
      <c r="B21" s="68">
        <v>43390</v>
      </c>
      <c r="C21" t="s">
        <v>244</v>
      </c>
      <c r="D21" t="s">
        <v>257</v>
      </c>
      <c r="E21">
        <v>29</v>
      </c>
      <c r="F21">
        <v>35</v>
      </c>
      <c r="G21">
        <v>54</v>
      </c>
      <c r="H21">
        <v>71</v>
      </c>
      <c r="I21">
        <v>84</v>
      </c>
      <c r="J21">
        <v>101</v>
      </c>
      <c r="K21">
        <v>112</v>
      </c>
      <c r="L21">
        <v>131</v>
      </c>
      <c r="M21">
        <v>112</v>
      </c>
      <c r="N21">
        <v>131</v>
      </c>
    </row>
    <row r="22" spans="1:16">
      <c r="A22">
        <v>4</v>
      </c>
      <c r="B22" s="68">
        <v>43397</v>
      </c>
      <c r="C22" t="s">
        <v>244</v>
      </c>
      <c r="D22" t="s">
        <v>261</v>
      </c>
      <c r="E22">
        <v>29</v>
      </c>
      <c r="F22">
        <v>24</v>
      </c>
      <c r="G22">
        <v>44</v>
      </c>
      <c r="H22">
        <v>52</v>
      </c>
      <c r="I22">
        <v>66</v>
      </c>
      <c r="J22">
        <v>75</v>
      </c>
      <c r="K22">
        <v>89</v>
      </c>
      <c r="L22">
        <v>100</v>
      </c>
      <c r="M22">
        <v>89</v>
      </c>
      <c r="N22">
        <v>100</v>
      </c>
    </row>
    <row r="23" spans="1:16">
      <c r="A23">
        <v>5</v>
      </c>
      <c r="B23" s="68">
        <v>43399</v>
      </c>
      <c r="C23" t="s">
        <v>244</v>
      </c>
      <c r="D23" t="s">
        <v>264</v>
      </c>
      <c r="E23">
        <v>30</v>
      </c>
      <c r="F23">
        <v>31</v>
      </c>
      <c r="G23">
        <v>61</v>
      </c>
      <c r="H23">
        <v>70</v>
      </c>
      <c r="I23">
        <v>83</v>
      </c>
      <c r="J23">
        <v>96</v>
      </c>
      <c r="K23">
        <v>113</v>
      </c>
      <c r="L23">
        <v>133</v>
      </c>
      <c r="M23">
        <v>113</v>
      </c>
      <c r="N23">
        <v>133</v>
      </c>
    </row>
    <row r="24" spans="1:16">
      <c r="A24">
        <v>6</v>
      </c>
      <c r="B24" s="68">
        <v>43403</v>
      </c>
      <c r="C24" t="s">
        <v>244</v>
      </c>
      <c r="D24" t="s">
        <v>270</v>
      </c>
      <c r="E24">
        <v>15</v>
      </c>
      <c r="F24">
        <v>19</v>
      </c>
      <c r="G24">
        <v>36</v>
      </c>
      <c r="H24">
        <v>51</v>
      </c>
      <c r="I24">
        <v>62</v>
      </c>
      <c r="J24">
        <v>85</v>
      </c>
      <c r="K24">
        <v>85</v>
      </c>
      <c r="L24">
        <v>104</v>
      </c>
      <c r="M24">
        <v>85</v>
      </c>
      <c r="N24">
        <v>104</v>
      </c>
    </row>
    <row r="25" spans="1:16">
      <c r="A25">
        <v>12</v>
      </c>
      <c r="B25" s="68">
        <v>43415</v>
      </c>
      <c r="C25" t="s">
        <v>244</v>
      </c>
      <c r="D25" t="s">
        <v>250</v>
      </c>
      <c r="E25">
        <v>32</v>
      </c>
      <c r="F25">
        <v>31</v>
      </c>
      <c r="G25">
        <v>76</v>
      </c>
      <c r="H25">
        <v>54</v>
      </c>
      <c r="I25">
        <v>102</v>
      </c>
      <c r="J25">
        <v>81</v>
      </c>
      <c r="K25">
        <v>115</v>
      </c>
      <c r="L25">
        <v>103</v>
      </c>
      <c r="M25">
        <v>115</v>
      </c>
      <c r="N25">
        <v>103</v>
      </c>
    </row>
    <row r="26" spans="1:16">
      <c r="A26">
        <v>14</v>
      </c>
      <c r="B26" s="68">
        <v>43419</v>
      </c>
      <c r="C26" t="s">
        <v>244</v>
      </c>
      <c r="D26" t="s">
        <v>242</v>
      </c>
      <c r="E26">
        <v>25</v>
      </c>
      <c r="F26">
        <v>19</v>
      </c>
      <c r="G26">
        <v>47</v>
      </c>
      <c r="H26">
        <v>41</v>
      </c>
      <c r="I26">
        <v>76</v>
      </c>
      <c r="J26">
        <v>63</v>
      </c>
      <c r="K26">
        <v>107</v>
      </c>
      <c r="L26">
        <v>86</v>
      </c>
      <c r="M26">
        <v>107</v>
      </c>
      <c r="N26">
        <v>86</v>
      </c>
    </row>
    <row r="27" spans="1:16">
      <c r="A27">
        <v>15</v>
      </c>
      <c r="B27" s="68">
        <v>43421</v>
      </c>
      <c r="C27" t="s">
        <v>244</v>
      </c>
      <c r="D27" t="s">
        <v>262</v>
      </c>
      <c r="E27">
        <v>36</v>
      </c>
      <c r="F27">
        <v>29</v>
      </c>
      <c r="G27">
        <v>71</v>
      </c>
      <c r="H27">
        <v>59</v>
      </c>
      <c r="I27">
        <v>109</v>
      </c>
      <c r="J27">
        <v>86</v>
      </c>
      <c r="K27">
        <v>132</v>
      </c>
      <c r="L27">
        <v>112</v>
      </c>
      <c r="M27">
        <v>132</v>
      </c>
      <c r="N27">
        <v>112</v>
      </c>
    </row>
    <row r="28" spans="1:16">
      <c r="A28">
        <v>16</v>
      </c>
      <c r="B28" s="68">
        <v>43425</v>
      </c>
      <c r="C28" t="s">
        <v>244</v>
      </c>
      <c r="D28" t="s">
        <v>248</v>
      </c>
      <c r="E28">
        <v>31</v>
      </c>
      <c r="F28">
        <v>29</v>
      </c>
      <c r="G28">
        <v>56</v>
      </c>
      <c r="H28">
        <v>57</v>
      </c>
      <c r="I28">
        <v>93</v>
      </c>
      <c r="J28">
        <v>83</v>
      </c>
      <c r="K28">
        <v>126</v>
      </c>
      <c r="L28">
        <v>124</v>
      </c>
      <c r="M28">
        <v>126</v>
      </c>
      <c r="N28">
        <v>124</v>
      </c>
    </row>
    <row r="29" spans="1:16">
      <c r="A29">
        <v>20</v>
      </c>
      <c r="B29" s="68">
        <v>43432</v>
      </c>
      <c r="C29" t="s">
        <v>244</v>
      </c>
      <c r="D29" t="s">
        <v>265</v>
      </c>
      <c r="E29">
        <v>28</v>
      </c>
      <c r="F29">
        <v>36</v>
      </c>
      <c r="G29">
        <v>56</v>
      </c>
      <c r="H29">
        <v>74</v>
      </c>
      <c r="I29">
        <v>89</v>
      </c>
      <c r="J29">
        <v>96</v>
      </c>
      <c r="K29">
        <v>108</v>
      </c>
      <c r="L29">
        <v>128</v>
      </c>
      <c r="M29">
        <v>108</v>
      </c>
      <c r="N29">
        <v>128</v>
      </c>
    </row>
    <row r="30" spans="1:16">
      <c r="A30">
        <v>22</v>
      </c>
      <c r="B30" s="68">
        <v>43435</v>
      </c>
      <c r="C30" t="s">
        <v>244</v>
      </c>
      <c r="D30" t="s">
        <v>267</v>
      </c>
      <c r="E30">
        <v>38</v>
      </c>
      <c r="F30">
        <v>22</v>
      </c>
      <c r="G30">
        <v>56</v>
      </c>
      <c r="H30">
        <v>46</v>
      </c>
      <c r="I30">
        <v>87</v>
      </c>
      <c r="J30">
        <v>75</v>
      </c>
      <c r="K30">
        <v>121</v>
      </c>
      <c r="L30">
        <v>105</v>
      </c>
      <c r="M30">
        <v>121</v>
      </c>
      <c r="N30">
        <v>105</v>
      </c>
    </row>
    <row r="31" spans="1:16">
      <c r="A31">
        <v>26</v>
      </c>
      <c r="B31" s="68">
        <v>43445</v>
      </c>
      <c r="C31" t="s">
        <v>244</v>
      </c>
      <c r="D31" t="s">
        <v>270</v>
      </c>
      <c r="E31">
        <v>27</v>
      </c>
      <c r="F31">
        <v>29</v>
      </c>
      <c r="G31">
        <v>51</v>
      </c>
      <c r="H31">
        <v>54</v>
      </c>
      <c r="I31">
        <v>81</v>
      </c>
      <c r="J31">
        <v>78</v>
      </c>
      <c r="K31">
        <v>111</v>
      </c>
      <c r="L31">
        <v>104</v>
      </c>
      <c r="M31">
        <v>111</v>
      </c>
      <c r="N31">
        <v>104</v>
      </c>
    </row>
    <row r="32" spans="1:16">
      <c r="A32">
        <v>27</v>
      </c>
      <c r="B32" s="68">
        <v>43447</v>
      </c>
      <c r="C32" t="s">
        <v>244</v>
      </c>
      <c r="D32" t="s">
        <v>269</v>
      </c>
      <c r="E32">
        <v>29</v>
      </c>
      <c r="F32">
        <v>24</v>
      </c>
      <c r="G32">
        <v>62</v>
      </c>
      <c r="H32">
        <v>56</v>
      </c>
      <c r="I32">
        <v>90</v>
      </c>
      <c r="J32">
        <v>88</v>
      </c>
      <c r="K32">
        <v>126</v>
      </c>
      <c r="L32">
        <v>111</v>
      </c>
      <c r="M32">
        <v>126</v>
      </c>
      <c r="N32">
        <v>111</v>
      </c>
    </row>
    <row r="33" spans="1:14">
      <c r="A33">
        <v>29</v>
      </c>
      <c r="B33" s="68">
        <v>43451</v>
      </c>
      <c r="C33" t="s">
        <v>244</v>
      </c>
      <c r="D33" t="s">
        <v>261</v>
      </c>
      <c r="E33">
        <v>25</v>
      </c>
      <c r="F33">
        <v>23</v>
      </c>
      <c r="G33">
        <v>50</v>
      </c>
      <c r="H33">
        <v>37</v>
      </c>
      <c r="I33">
        <v>83</v>
      </c>
      <c r="J33">
        <v>73</v>
      </c>
      <c r="K33">
        <v>102</v>
      </c>
      <c r="L33">
        <v>97</v>
      </c>
      <c r="M33">
        <v>102</v>
      </c>
      <c r="N33">
        <v>97</v>
      </c>
    </row>
    <row r="34" spans="1:14">
      <c r="A34">
        <v>30</v>
      </c>
      <c r="B34" s="68">
        <v>43453</v>
      </c>
      <c r="C34" t="s">
        <v>244</v>
      </c>
      <c r="D34" t="s">
        <v>268</v>
      </c>
      <c r="E34">
        <v>34</v>
      </c>
      <c r="F34">
        <v>28</v>
      </c>
      <c r="G34">
        <v>70</v>
      </c>
      <c r="H34">
        <v>58</v>
      </c>
      <c r="I34">
        <v>101</v>
      </c>
      <c r="J34">
        <v>90</v>
      </c>
      <c r="K34">
        <v>136</v>
      </c>
      <c r="L34">
        <v>118</v>
      </c>
      <c r="M34">
        <v>136</v>
      </c>
      <c r="N34">
        <v>118</v>
      </c>
    </row>
    <row r="35" spans="1:14">
      <c r="A35">
        <v>32</v>
      </c>
      <c r="B35" s="68">
        <v>43456</v>
      </c>
      <c r="C35" t="s">
        <v>244</v>
      </c>
      <c r="D35" t="s">
        <v>260</v>
      </c>
      <c r="E35">
        <v>28</v>
      </c>
      <c r="F35">
        <v>26</v>
      </c>
      <c r="G35">
        <v>41</v>
      </c>
      <c r="H35">
        <v>43</v>
      </c>
      <c r="I35">
        <v>84</v>
      </c>
      <c r="J35">
        <v>69</v>
      </c>
      <c r="K35">
        <v>108</v>
      </c>
      <c r="L35">
        <v>101</v>
      </c>
      <c r="M35">
        <v>108</v>
      </c>
      <c r="N35">
        <v>101</v>
      </c>
    </row>
    <row r="36" spans="1:14">
      <c r="A36">
        <v>33</v>
      </c>
      <c r="B36" s="68">
        <v>43459</v>
      </c>
      <c r="C36" t="s">
        <v>244</v>
      </c>
      <c r="D36" t="s">
        <v>241</v>
      </c>
      <c r="E36">
        <v>22</v>
      </c>
      <c r="F36">
        <v>22</v>
      </c>
      <c r="G36">
        <v>52</v>
      </c>
      <c r="H36">
        <v>60</v>
      </c>
      <c r="I36">
        <v>86</v>
      </c>
      <c r="J36">
        <v>88</v>
      </c>
      <c r="K36">
        <v>113</v>
      </c>
      <c r="L36">
        <v>109</v>
      </c>
      <c r="M36">
        <v>113</v>
      </c>
      <c r="N36">
        <v>109</v>
      </c>
    </row>
    <row r="37" spans="1:14">
      <c r="A37">
        <v>34</v>
      </c>
      <c r="B37" s="68">
        <v>43461</v>
      </c>
      <c r="C37" t="s">
        <v>244</v>
      </c>
      <c r="D37" t="s">
        <v>240</v>
      </c>
      <c r="E37">
        <v>35</v>
      </c>
      <c r="F37">
        <v>24</v>
      </c>
      <c r="G37">
        <v>57</v>
      </c>
      <c r="H37">
        <v>55</v>
      </c>
      <c r="I37">
        <v>92</v>
      </c>
      <c r="J37">
        <v>86</v>
      </c>
      <c r="K37">
        <v>127</v>
      </c>
      <c r="L37">
        <v>113</v>
      </c>
      <c r="M37">
        <v>127</v>
      </c>
      <c r="N37">
        <v>113</v>
      </c>
    </row>
    <row r="38" spans="1:14">
      <c r="A38">
        <v>36</v>
      </c>
      <c r="B38" s="68">
        <v>43465</v>
      </c>
      <c r="C38" t="s">
        <v>244</v>
      </c>
      <c r="D38" t="s">
        <v>249</v>
      </c>
      <c r="E38">
        <v>27</v>
      </c>
      <c r="F38">
        <v>18</v>
      </c>
      <c r="G38">
        <v>61</v>
      </c>
      <c r="H38">
        <v>38</v>
      </c>
      <c r="I38">
        <v>86</v>
      </c>
      <c r="J38">
        <v>73</v>
      </c>
      <c r="K38">
        <v>113</v>
      </c>
      <c r="L38">
        <v>101</v>
      </c>
      <c r="M38">
        <v>113</v>
      </c>
      <c r="N38">
        <v>101</v>
      </c>
    </row>
  </sheetData>
  <sortState xmlns:xlrd2="http://schemas.microsoft.com/office/spreadsheetml/2017/richdata2" ref="A2:Z62">
    <sortCondition ref="C1"/>
  </sortState>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R39"/>
  <sheetViews>
    <sheetView workbookViewId="0">
      <selection activeCell="F18" sqref="F18"/>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3</v>
      </c>
      <c r="B2" s="68">
        <v>43395</v>
      </c>
      <c r="C2" t="s">
        <v>243</v>
      </c>
      <c r="D2" t="s">
        <v>270</v>
      </c>
      <c r="E2">
        <v>28</v>
      </c>
      <c r="F2">
        <v>32</v>
      </c>
      <c r="G2">
        <v>62</v>
      </c>
      <c r="H2">
        <v>62</v>
      </c>
      <c r="I2">
        <v>78</v>
      </c>
      <c r="J2">
        <v>77</v>
      </c>
      <c r="K2">
        <v>111</v>
      </c>
      <c r="L2">
        <v>111</v>
      </c>
      <c r="M2">
        <v>125</v>
      </c>
      <c r="N2">
        <v>124</v>
      </c>
      <c r="O2">
        <v>125</v>
      </c>
      <c r="P2">
        <v>124</v>
      </c>
    </row>
    <row r="3" spans="1:18">
      <c r="A3">
        <v>4</v>
      </c>
      <c r="B3" s="68">
        <v>43397</v>
      </c>
      <c r="C3" t="s">
        <v>243</v>
      </c>
      <c r="D3" t="s">
        <v>242</v>
      </c>
      <c r="E3">
        <v>37</v>
      </c>
      <c r="F3">
        <v>46</v>
      </c>
      <c r="G3">
        <v>71</v>
      </c>
      <c r="H3">
        <v>80</v>
      </c>
      <c r="I3">
        <v>97</v>
      </c>
      <c r="J3">
        <v>115</v>
      </c>
      <c r="K3">
        <v>122</v>
      </c>
      <c r="L3">
        <v>144</v>
      </c>
      <c r="M3">
        <v>122</v>
      </c>
      <c r="N3">
        <v>144</v>
      </c>
    </row>
    <row r="4" spans="1:18">
      <c r="A4">
        <v>5</v>
      </c>
      <c r="B4" s="68">
        <v>43399</v>
      </c>
      <c r="C4" t="s">
        <v>243</v>
      </c>
      <c r="D4" t="s">
        <v>262</v>
      </c>
      <c r="E4">
        <v>27</v>
      </c>
      <c r="F4">
        <v>28</v>
      </c>
      <c r="G4">
        <v>61</v>
      </c>
      <c r="H4">
        <v>55</v>
      </c>
      <c r="I4">
        <v>85</v>
      </c>
      <c r="J4">
        <v>79</v>
      </c>
      <c r="K4">
        <v>112</v>
      </c>
      <c r="L4">
        <v>116</v>
      </c>
      <c r="M4">
        <v>112</v>
      </c>
      <c r="N4">
        <v>116</v>
      </c>
    </row>
    <row r="5" spans="1:18">
      <c r="A5">
        <v>6</v>
      </c>
      <c r="B5" s="68">
        <v>43401</v>
      </c>
      <c r="C5" t="s">
        <v>243</v>
      </c>
      <c r="D5" t="s">
        <v>264</v>
      </c>
      <c r="E5">
        <v>20</v>
      </c>
      <c r="F5">
        <v>28</v>
      </c>
      <c r="G5">
        <v>54</v>
      </c>
      <c r="H5">
        <v>69</v>
      </c>
      <c r="I5">
        <v>77</v>
      </c>
      <c r="J5">
        <v>97</v>
      </c>
      <c r="K5">
        <v>104</v>
      </c>
      <c r="L5">
        <v>136</v>
      </c>
      <c r="M5">
        <v>104</v>
      </c>
      <c r="N5">
        <v>136</v>
      </c>
    </row>
    <row r="6" spans="1:18">
      <c r="A6">
        <v>7</v>
      </c>
      <c r="B6" s="68">
        <v>43403</v>
      </c>
      <c r="C6" t="s">
        <v>243</v>
      </c>
      <c r="D6" t="s">
        <v>249</v>
      </c>
      <c r="E6">
        <v>24</v>
      </c>
      <c r="F6">
        <v>22</v>
      </c>
      <c r="G6">
        <v>45</v>
      </c>
      <c r="H6">
        <v>46</v>
      </c>
      <c r="I6">
        <v>72</v>
      </c>
      <c r="J6">
        <v>78</v>
      </c>
      <c r="K6">
        <v>95</v>
      </c>
      <c r="L6">
        <v>107</v>
      </c>
      <c r="M6">
        <v>95</v>
      </c>
      <c r="N6">
        <v>107</v>
      </c>
    </row>
    <row r="7" spans="1:18">
      <c r="A7">
        <v>10</v>
      </c>
      <c r="B7" s="68">
        <v>43410</v>
      </c>
      <c r="C7" t="s">
        <v>243</v>
      </c>
      <c r="D7" t="s">
        <v>265</v>
      </c>
      <c r="E7">
        <v>24</v>
      </c>
      <c r="F7">
        <v>35</v>
      </c>
      <c r="G7">
        <v>49</v>
      </c>
      <c r="H7">
        <v>70</v>
      </c>
      <c r="I7">
        <v>78</v>
      </c>
      <c r="J7">
        <v>87</v>
      </c>
      <c r="K7">
        <v>100</v>
      </c>
      <c r="L7">
        <v>119</v>
      </c>
      <c r="M7">
        <v>100</v>
      </c>
      <c r="N7">
        <v>119</v>
      </c>
    </row>
    <row r="8" spans="1:18">
      <c r="A8">
        <v>11</v>
      </c>
      <c r="B8" s="68">
        <v>43413</v>
      </c>
      <c r="C8" t="s">
        <v>243</v>
      </c>
      <c r="D8" t="s">
        <v>252</v>
      </c>
      <c r="E8">
        <v>25</v>
      </c>
      <c r="F8">
        <v>32</v>
      </c>
      <c r="G8">
        <v>48</v>
      </c>
      <c r="H8">
        <v>63</v>
      </c>
      <c r="I8">
        <v>74</v>
      </c>
      <c r="J8">
        <v>89</v>
      </c>
      <c r="K8">
        <v>108</v>
      </c>
      <c r="L8">
        <v>117</v>
      </c>
      <c r="M8">
        <v>108</v>
      </c>
      <c r="N8">
        <v>117</v>
      </c>
    </row>
    <row r="9" spans="1:18">
      <c r="A9">
        <v>12</v>
      </c>
      <c r="B9" s="68">
        <v>43414</v>
      </c>
      <c r="C9" t="s">
        <v>243</v>
      </c>
      <c r="D9" t="s">
        <v>251</v>
      </c>
      <c r="E9">
        <v>25</v>
      </c>
      <c r="F9">
        <v>35</v>
      </c>
      <c r="G9">
        <v>58</v>
      </c>
      <c r="H9">
        <v>61</v>
      </c>
      <c r="I9">
        <v>83</v>
      </c>
      <c r="J9">
        <v>85</v>
      </c>
      <c r="K9">
        <v>116</v>
      </c>
      <c r="L9">
        <v>110</v>
      </c>
      <c r="M9">
        <v>116</v>
      </c>
      <c r="N9">
        <v>110</v>
      </c>
    </row>
    <row r="10" spans="1:18">
      <c r="A10">
        <v>18</v>
      </c>
      <c r="B10" s="68">
        <v>43427</v>
      </c>
      <c r="C10" t="s">
        <v>243</v>
      </c>
      <c r="D10" t="s">
        <v>256</v>
      </c>
      <c r="E10">
        <v>26</v>
      </c>
      <c r="F10">
        <v>38</v>
      </c>
      <c r="G10">
        <v>62</v>
      </c>
      <c r="H10">
        <v>70</v>
      </c>
      <c r="I10">
        <v>87</v>
      </c>
      <c r="J10">
        <v>101</v>
      </c>
      <c r="K10">
        <v>107</v>
      </c>
      <c r="L10">
        <v>125</v>
      </c>
      <c r="M10">
        <v>107</v>
      </c>
      <c r="N10">
        <v>125</v>
      </c>
    </row>
    <row r="11" spans="1:18">
      <c r="A11">
        <v>21</v>
      </c>
      <c r="B11" s="68">
        <v>43432</v>
      </c>
      <c r="C11" t="s">
        <v>243</v>
      </c>
      <c r="D11" t="s">
        <v>257</v>
      </c>
      <c r="E11">
        <v>24</v>
      </c>
      <c r="F11">
        <v>31</v>
      </c>
      <c r="G11">
        <v>47</v>
      </c>
      <c r="H11">
        <v>67</v>
      </c>
      <c r="I11">
        <v>81</v>
      </c>
      <c r="J11">
        <v>98</v>
      </c>
      <c r="K11">
        <v>104</v>
      </c>
      <c r="L11">
        <v>125</v>
      </c>
      <c r="M11">
        <v>104</v>
      </c>
      <c r="N11">
        <v>125</v>
      </c>
    </row>
    <row r="12" spans="1:18">
      <c r="A12">
        <v>22</v>
      </c>
      <c r="B12" s="68">
        <v>43434</v>
      </c>
      <c r="C12" t="s">
        <v>243</v>
      </c>
      <c r="D12" t="s">
        <v>239</v>
      </c>
      <c r="E12">
        <v>19</v>
      </c>
      <c r="F12">
        <v>31</v>
      </c>
      <c r="G12">
        <v>46</v>
      </c>
      <c r="H12">
        <v>68</v>
      </c>
      <c r="I12">
        <v>70</v>
      </c>
      <c r="J12">
        <v>98</v>
      </c>
      <c r="K12">
        <v>98</v>
      </c>
      <c r="L12">
        <v>123</v>
      </c>
      <c r="M12">
        <v>98</v>
      </c>
      <c r="N12">
        <v>123</v>
      </c>
    </row>
    <row r="13" spans="1:18">
      <c r="A13">
        <v>24</v>
      </c>
      <c r="B13" s="68">
        <v>43437</v>
      </c>
      <c r="C13" t="s">
        <v>243</v>
      </c>
      <c r="D13" t="s">
        <v>254</v>
      </c>
      <c r="E13">
        <v>26</v>
      </c>
      <c r="F13">
        <v>32</v>
      </c>
      <c r="G13">
        <v>52</v>
      </c>
      <c r="H13">
        <v>61</v>
      </c>
      <c r="I13">
        <v>86</v>
      </c>
      <c r="J13">
        <v>80</v>
      </c>
      <c r="K13">
        <v>110</v>
      </c>
      <c r="L13">
        <v>107</v>
      </c>
      <c r="M13">
        <v>110</v>
      </c>
      <c r="N13">
        <v>107</v>
      </c>
    </row>
    <row r="14" spans="1:18">
      <c r="A14">
        <v>25</v>
      </c>
      <c r="B14" s="68">
        <v>43439</v>
      </c>
      <c r="C14" t="s">
        <v>243</v>
      </c>
      <c r="D14" t="s">
        <v>253</v>
      </c>
      <c r="E14">
        <v>33</v>
      </c>
      <c r="F14">
        <v>25</v>
      </c>
      <c r="G14">
        <v>72</v>
      </c>
      <c r="H14">
        <v>49</v>
      </c>
      <c r="I14">
        <v>103</v>
      </c>
      <c r="J14">
        <v>94</v>
      </c>
      <c r="K14">
        <v>131</v>
      </c>
      <c r="L14">
        <v>117</v>
      </c>
      <c r="M14">
        <v>131</v>
      </c>
      <c r="N14">
        <v>117</v>
      </c>
    </row>
    <row r="15" spans="1:18">
      <c r="A15">
        <v>26</v>
      </c>
      <c r="B15" s="68">
        <v>43442</v>
      </c>
      <c r="C15" t="s">
        <v>243</v>
      </c>
      <c r="D15" t="s">
        <v>255</v>
      </c>
      <c r="E15">
        <v>25</v>
      </c>
      <c r="F15">
        <v>38</v>
      </c>
      <c r="G15">
        <v>46</v>
      </c>
      <c r="H15">
        <v>62</v>
      </c>
      <c r="I15">
        <v>66</v>
      </c>
      <c r="J15">
        <v>87</v>
      </c>
      <c r="K15">
        <v>101</v>
      </c>
      <c r="L15">
        <v>116</v>
      </c>
      <c r="M15">
        <v>101</v>
      </c>
      <c r="N15">
        <v>116</v>
      </c>
    </row>
    <row r="16" spans="1:18">
      <c r="A16">
        <v>27</v>
      </c>
      <c r="B16" s="68">
        <v>43444</v>
      </c>
      <c r="C16" t="s">
        <v>243</v>
      </c>
      <c r="D16" t="s">
        <v>250</v>
      </c>
      <c r="E16">
        <v>33</v>
      </c>
      <c r="F16">
        <v>29</v>
      </c>
      <c r="G16">
        <v>50</v>
      </c>
      <c r="H16">
        <v>59</v>
      </c>
      <c r="I16">
        <v>75</v>
      </c>
      <c r="J16">
        <v>87</v>
      </c>
      <c r="K16">
        <v>101</v>
      </c>
      <c r="L16">
        <v>109</v>
      </c>
      <c r="M16">
        <v>101</v>
      </c>
      <c r="N16">
        <v>109</v>
      </c>
    </row>
    <row r="17" spans="1:16">
      <c r="A17">
        <v>29</v>
      </c>
      <c r="B17" s="68">
        <v>43448</v>
      </c>
      <c r="C17" t="s">
        <v>243</v>
      </c>
      <c r="D17" t="s">
        <v>247</v>
      </c>
      <c r="E17">
        <v>31</v>
      </c>
      <c r="F17">
        <v>27</v>
      </c>
      <c r="G17">
        <v>59</v>
      </c>
      <c r="H17">
        <v>70</v>
      </c>
      <c r="I17">
        <v>85</v>
      </c>
      <c r="J17">
        <v>101</v>
      </c>
      <c r="K17">
        <v>118</v>
      </c>
      <c r="L17">
        <v>125</v>
      </c>
      <c r="M17">
        <v>118</v>
      </c>
      <c r="N17">
        <v>125</v>
      </c>
    </row>
    <row r="18" spans="1:16">
      <c r="A18">
        <v>31</v>
      </c>
      <c r="B18" s="68">
        <v>43452</v>
      </c>
      <c r="C18" t="s">
        <v>243</v>
      </c>
      <c r="D18" t="s">
        <v>253</v>
      </c>
      <c r="E18">
        <v>24</v>
      </c>
      <c r="F18">
        <v>35</v>
      </c>
      <c r="G18">
        <v>54</v>
      </c>
      <c r="H18">
        <v>58</v>
      </c>
      <c r="I18">
        <v>82</v>
      </c>
      <c r="J18">
        <v>82</v>
      </c>
      <c r="K18">
        <v>110</v>
      </c>
      <c r="L18">
        <v>118</v>
      </c>
      <c r="M18">
        <v>110</v>
      </c>
      <c r="N18">
        <v>118</v>
      </c>
    </row>
    <row r="19" spans="1:16">
      <c r="A19">
        <v>32</v>
      </c>
      <c r="B19" s="68">
        <v>43453</v>
      </c>
      <c r="C19" t="s">
        <v>243</v>
      </c>
      <c r="D19" t="s">
        <v>258</v>
      </c>
      <c r="E19">
        <v>28</v>
      </c>
      <c r="F19">
        <v>34</v>
      </c>
      <c r="G19">
        <v>58</v>
      </c>
      <c r="H19">
        <v>70</v>
      </c>
      <c r="I19">
        <v>90</v>
      </c>
      <c r="J19">
        <v>101</v>
      </c>
      <c r="K19">
        <v>118</v>
      </c>
      <c r="L19">
        <v>136</v>
      </c>
      <c r="M19">
        <v>118</v>
      </c>
      <c r="N19">
        <v>136</v>
      </c>
    </row>
    <row r="20" spans="1:16">
      <c r="A20">
        <v>34</v>
      </c>
      <c r="B20" s="68">
        <v>43457</v>
      </c>
      <c r="C20" t="s">
        <v>243</v>
      </c>
      <c r="D20" t="s">
        <v>250</v>
      </c>
      <c r="E20">
        <v>25</v>
      </c>
      <c r="F20">
        <v>27</v>
      </c>
      <c r="G20">
        <v>46</v>
      </c>
      <c r="H20">
        <v>53</v>
      </c>
      <c r="I20">
        <v>64</v>
      </c>
      <c r="J20">
        <v>84</v>
      </c>
      <c r="K20">
        <v>89</v>
      </c>
      <c r="L20">
        <v>105</v>
      </c>
      <c r="M20">
        <v>89</v>
      </c>
      <c r="N20">
        <v>105</v>
      </c>
    </row>
    <row r="21" spans="1:16">
      <c r="A21">
        <v>35</v>
      </c>
      <c r="B21" s="68">
        <v>43460</v>
      </c>
      <c r="C21" t="s">
        <v>243</v>
      </c>
      <c r="D21" t="s">
        <v>248</v>
      </c>
      <c r="E21">
        <v>28</v>
      </c>
      <c r="F21">
        <v>27</v>
      </c>
      <c r="G21">
        <v>55</v>
      </c>
      <c r="H21">
        <v>54</v>
      </c>
      <c r="I21">
        <v>72</v>
      </c>
      <c r="J21">
        <v>85</v>
      </c>
      <c r="K21">
        <v>95</v>
      </c>
      <c r="L21">
        <v>106</v>
      </c>
      <c r="M21">
        <v>95</v>
      </c>
      <c r="N21">
        <v>106</v>
      </c>
    </row>
    <row r="22" spans="1:16">
      <c r="A22">
        <v>1</v>
      </c>
      <c r="B22" s="68">
        <v>43391</v>
      </c>
      <c r="C22" t="s">
        <v>244</v>
      </c>
      <c r="D22" t="s">
        <v>251</v>
      </c>
      <c r="E22">
        <v>25</v>
      </c>
      <c r="F22">
        <v>24</v>
      </c>
      <c r="G22">
        <v>59</v>
      </c>
      <c r="H22">
        <v>58</v>
      </c>
      <c r="I22">
        <v>89</v>
      </c>
      <c r="J22">
        <v>85</v>
      </c>
      <c r="K22">
        <v>112</v>
      </c>
      <c r="L22">
        <v>113</v>
      </c>
      <c r="M22">
        <v>112</v>
      </c>
      <c r="N22">
        <v>113</v>
      </c>
    </row>
    <row r="23" spans="1:16">
      <c r="A23">
        <v>2</v>
      </c>
      <c r="B23" s="68">
        <v>43393</v>
      </c>
      <c r="C23" t="s">
        <v>244</v>
      </c>
      <c r="D23" t="s">
        <v>256</v>
      </c>
      <c r="E23">
        <v>22</v>
      </c>
      <c r="F23">
        <v>24</v>
      </c>
      <c r="G23">
        <v>54</v>
      </c>
      <c r="H23">
        <v>57</v>
      </c>
      <c r="I23">
        <v>82</v>
      </c>
      <c r="J23">
        <v>90</v>
      </c>
      <c r="K23">
        <v>113</v>
      </c>
      <c r="L23">
        <v>117</v>
      </c>
      <c r="M23">
        <v>113</v>
      </c>
      <c r="N23">
        <v>117</v>
      </c>
    </row>
    <row r="24" spans="1:16">
      <c r="A24">
        <v>8</v>
      </c>
      <c r="B24" s="68">
        <v>43406</v>
      </c>
      <c r="C24" t="s">
        <v>244</v>
      </c>
      <c r="D24" t="s">
        <v>241</v>
      </c>
      <c r="E24">
        <v>30</v>
      </c>
      <c r="F24">
        <v>35</v>
      </c>
      <c r="G24">
        <v>50</v>
      </c>
      <c r="H24">
        <v>79</v>
      </c>
      <c r="I24">
        <v>85</v>
      </c>
      <c r="J24">
        <v>110</v>
      </c>
      <c r="K24">
        <v>111</v>
      </c>
      <c r="L24">
        <v>134</v>
      </c>
      <c r="M24">
        <v>111</v>
      </c>
      <c r="N24">
        <v>134</v>
      </c>
    </row>
    <row r="25" spans="1:16">
      <c r="A25">
        <v>9</v>
      </c>
      <c r="B25" s="68">
        <v>43408</v>
      </c>
      <c r="C25" t="s">
        <v>244</v>
      </c>
      <c r="D25" t="s">
        <v>254</v>
      </c>
      <c r="E25">
        <v>24</v>
      </c>
      <c r="F25">
        <v>17</v>
      </c>
      <c r="G25">
        <v>58</v>
      </c>
      <c r="H25">
        <v>50</v>
      </c>
      <c r="I25">
        <v>81</v>
      </c>
      <c r="J25">
        <v>78</v>
      </c>
      <c r="K25">
        <v>108</v>
      </c>
      <c r="L25">
        <v>95</v>
      </c>
      <c r="M25">
        <v>108</v>
      </c>
      <c r="N25">
        <v>95</v>
      </c>
    </row>
    <row r="26" spans="1:16">
      <c r="A26">
        <v>13</v>
      </c>
      <c r="B26" s="68">
        <v>43416</v>
      </c>
      <c r="C26" t="s">
        <v>244</v>
      </c>
      <c r="D26" t="s">
        <v>252</v>
      </c>
      <c r="E26">
        <v>30</v>
      </c>
      <c r="F26">
        <v>30</v>
      </c>
      <c r="G26">
        <v>55</v>
      </c>
      <c r="H26">
        <v>55</v>
      </c>
      <c r="I26">
        <v>83</v>
      </c>
      <c r="J26">
        <v>83</v>
      </c>
      <c r="K26">
        <v>117</v>
      </c>
      <c r="L26">
        <v>109</v>
      </c>
      <c r="M26">
        <v>117</v>
      </c>
      <c r="N26">
        <v>109</v>
      </c>
    </row>
    <row r="27" spans="1:16">
      <c r="A27">
        <v>14</v>
      </c>
      <c r="B27" s="68">
        <v>43418</v>
      </c>
      <c r="C27" t="s">
        <v>244</v>
      </c>
      <c r="D27" t="s">
        <v>255</v>
      </c>
      <c r="E27">
        <v>41</v>
      </c>
      <c r="F27">
        <v>29</v>
      </c>
      <c r="G27">
        <v>73</v>
      </c>
      <c r="H27">
        <v>52</v>
      </c>
      <c r="I27">
        <v>96</v>
      </c>
      <c r="J27">
        <v>74</v>
      </c>
      <c r="K27">
        <v>119</v>
      </c>
      <c r="L27">
        <v>95</v>
      </c>
      <c r="M27">
        <v>119</v>
      </c>
      <c r="N27">
        <v>95</v>
      </c>
    </row>
    <row r="28" spans="1:16">
      <c r="A28">
        <v>15</v>
      </c>
      <c r="B28" s="68">
        <v>43420</v>
      </c>
      <c r="C28" t="s">
        <v>244</v>
      </c>
      <c r="D28" t="s">
        <v>247</v>
      </c>
      <c r="E28">
        <v>30</v>
      </c>
      <c r="F28">
        <v>26</v>
      </c>
      <c r="G28">
        <v>54</v>
      </c>
      <c r="H28">
        <v>56</v>
      </c>
      <c r="I28">
        <v>79</v>
      </c>
      <c r="J28">
        <v>91</v>
      </c>
      <c r="K28">
        <v>104</v>
      </c>
      <c r="L28">
        <v>115</v>
      </c>
      <c r="M28">
        <v>104</v>
      </c>
      <c r="N28">
        <v>115</v>
      </c>
    </row>
    <row r="29" spans="1:16">
      <c r="A29">
        <v>16</v>
      </c>
      <c r="B29" s="68">
        <v>43422</v>
      </c>
      <c r="C29" t="s">
        <v>244</v>
      </c>
      <c r="D29" t="s">
        <v>270</v>
      </c>
      <c r="E29">
        <v>25</v>
      </c>
      <c r="F29">
        <v>32</v>
      </c>
      <c r="G29">
        <v>41</v>
      </c>
      <c r="H29">
        <v>62</v>
      </c>
      <c r="I29">
        <v>70</v>
      </c>
      <c r="J29">
        <v>91</v>
      </c>
      <c r="K29">
        <v>109</v>
      </c>
      <c r="L29">
        <v>119</v>
      </c>
      <c r="M29">
        <v>109</v>
      </c>
      <c r="N29">
        <v>119</v>
      </c>
    </row>
    <row r="30" spans="1:16">
      <c r="A30">
        <v>17</v>
      </c>
      <c r="B30" s="68">
        <v>43424</v>
      </c>
      <c r="C30" t="s">
        <v>244</v>
      </c>
      <c r="D30" t="s">
        <v>264</v>
      </c>
      <c r="E30">
        <v>21</v>
      </c>
      <c r="F30">
        <v>40</v>
      </c>
      <c r="G30">
        <v>54</v>
      </c>
      <c r="H30">
        <v>73</v>
      </c>
      <c r="I30">
        <v>86</v>
      </c>
      <c r="J30">
        <v>95</v>
      </c>
      <c r="K30">
        <v>125</v>
      </c>
      <c r="L30">
        <v>118</v>
      </c>
      <c r="M30">
        <v>125</v>
      </c>
      <c r="N30">
        <v>118</v>
      </c>
    </row>
    <row r="31" spans="1:16">
      <c r="A31">
        <v>19</v>
      </c>
      <c r="B31" s="68">
        <v>43428</v>
      </c>
      <c r="C31" t="s">
        <v>244</v>
      </c>
      <c r="D31" t="s">
        <v>257</v>
      </c>
      <c r="E31">
        <v>37</v>
      </c>
      <c r="F31">
        <v>34</v>
      </c>
      <c r="G31">
        <v>68</v>
      </c>
      <c r="H31">
        <v>68</v>
      </c>
      <c r="I31">
        <v>90</v>
      </c>
      <c r="J31">
        <v>91</v>
      </c>
      <c r="K31">
        <v>124</v>
      </c>
      <c r="L31">
        <v>114</v>
      </c>
      <c r="M31">
        <v>124</v>
      </c>
      <c r="N31">
        <v>114</v>
      </c>
    </row>
    <row r="32" spans="1:16">
      <c r="A32">
        <v>20</v>
      </c>
      <c r="B32" s="68">
        <v>43430</v>
      </c>
      <c r="C32" t="s">
        <v>244</v>
      </c>
      <c r="D32" t="s">
        <v>258</v>
      </c>
      <c r="E32">
        <v>30</v>
      </c>
      <c r="F32">
        <v>42</v>
      </c>
      <c r="G32">
        <v>67</v>
      </c>
      <c r="H32">
        <v>65</v>
      </c>
      <c r="I32">
        <v>94</v>
      </c>
      <c r="J32">
        <v>98</v>
      </c>
      <c r="K32">
        <v>125</v>
      </c>
      <c r="L32">
        <v>125</v>
      </c>
      <c r="M32">
        <v>135</v>
      </c>
      <c r="N32">
        <v>131</v>
      </c>
      <c r="O32">
        <v>135</v>
      </c>
      <c r="P32">
        <v>131</v>
      </c>
    </row>
    <row r="33" spans="1:16">
      <c r="A33">
        <v>23</v>
      </c>
      <c r="B33" s="68">
        <v>43435</v>
      </c>
      <c r="C33" t="s">
        <v>244</v>
      </c>
      <c r="D33" t="s">
        <v>247</v>
      </c>
      <c r="E33">
        <v>24</v>
      </c>
      <c r="F33">
        <v>19</v>
      </c>
      <c r="G33">
        <v>42</v>
      </c>
      <c r="H33">
        <v>39</v>
      </c>
      <c r="I33">
        <v>68</v>
      </c>
      <c r="J33">
        <v>58</v>
      </c>
      <c r="K33">
        <v>102</v>
      </c>
      <c r="L33">
        <v>88</v>
      </c>
      <c r="M33">
        <v>102</v>
      </c>
      <c r="N33">
        <v>88</v>
      </c>
    </row>
    <row r="34" spans="1:16">
      <c r="A34">
        <v>28</v>
      </c>
      <c r="B34" s="68">
        <v>43446</v>
      </c>
      <c r="C34" t="s">
        <v>244</v>
      </c>
      <c r="D34" t="s">
        <v>240</v>
      </c>
      <c r="E34">
        <v>28</v>
      </c>
      <c r="F34">
        <v>24</v>
      </c>
      <c r="G34">
        <v>55</v>
      </c>
      <c r="H34">
        <v>46</v>
      </c>
      <c r="I34">
        <v>77</v>
      </c>
      <c r="J34">
        <v>84</v>
      </c>
      <c r="K34">
        <v>113</v>
      </c>
      <c r="L34">
        <v>113</v>
      </c>
      <c r="M34">
        <v>125</v>
      </c>
      <c r="N34">
        <v>130</v>
      </c>
      <c r="O34">
        <v>125</v>
      </c>
      <c r="P34">
        <v>130</v>
      </c>
    </row>
    <row r="35" spans="1:16">
      <c r="A35">
        <v>30</v>
      </c>
      <c r="B35" s="68">
        <v>43450</v>
      </c>
      <c r="C35" t="s">
        <v>244</v>
      </c>
      <c r="D35" t="s">
        <v>269</v>
      </c>
      <c r="E35">
        <v>33</v>
      </c>
      <c r="F35">
        <v>23</v>
      </c>
      <c r="G35">
        <v>71</v>
      </c>
      <c r="H35">
        <v>51</v>
      </c>
      <c r="I35">
        <v>99</v>
      </c>
      <c r="J35">
        <v>76</v>
      </c>
      <c r="K35">
        <v>128</v>
      </c>
      <c r="L35">
        <v>110</v>
      </c>
      <c r="M35">
        <v>128</v>
      </c>
      <c r="N35">
        <v>110</v>
      </c>
    </row>
    <row r="36" spans="1:16">
      <c r="A36">
        <v>33</v>
      </c>
      <c r="B36" s="68">
        <v>43456</v>
      </c>
      <c r="C36" t="s">
        <v>244</v>
      </c>
      <c r="D36" t="s">
        <v>266</v>
      </c>
      <c r="E36">
        <v>33</v>
      </c>
      <c r="F36">
        <v>29</v>
      </c>
      <c r="G36">
        <v>55</v>
      </c>
      <c r="H36">
        <v>55</v>
      </c>
      <c r="I36">
        <v>83</v>
      </c>
      <c r="J36">
        <v>79</v>
      </c>
      <c r="K36">
        <v>109</v>
      </c>
      <c r="L36">
        <v>109</v>
      </c>
      <c r="M36">
        <v>149</v>
      </c>
      <c r="N36">
        <v>146</v>
      </c>
      <c r="O36">
        <v>149</v>
      </c>
      <c r="P36">
        <v>146</v>
      </c>
    </row>
    <row r="37" spans="1:16">
      <c r="A37">
        <v>36</v>
      </c>
      <c r="B37" s="68">
        <v>43462</v>
      </c>
      <c r="C37" t="s">
        <v>244</v>
      </c>
      <c r="D37" t="s">
        <v>267</v>
      </c>
      <c r="E37">
        <v>22</v>
      </c>
      <c r="F37">
        <v>20</v>
      </c>
      <c r="G37">
        <v>42</v>
      </c>
      <c r="H37">
        <v>40</v>
      </c>
      <c r="I37">
        <v>72</v>
      </c>
      <c r="J37">
        <v>74</v>
      </c>
      <c r="K37">
        <v>92</v>
      </c>
      <c r="L37">
        <v>101</v>
      </c>
      <c r="M37">
        <v>92</v>
      </c>
      <c r="N37">
        <v>101</v>
      </c>
    </row>
    <row r="38" spans="1:16">
      <c r="A38">
        <v>37</v>
      </c>
      <c r="B38" s="68">
        <v>43463</v>
      </c>
      <c r="C38" t="s">
        <v>244</v>
      </c>
      <c r="D38" t="s">
        <v>246</v>
      </c>
      <c r="E38">
        <v>27</v>
      </c>
      <c r="F38">
        <v>29</v>
      </c>
      <c r="G38">
        <v>67</v>
      </c>
      <c r="H38">
        <v>61</v>
      </c>
      <c r="I38">
        <v>94</v>
      </c>
      <c r="J38">
        <v>92</v>
      </c>
      <c r="K38">
        <v>130</v>
      </c>
      <c r="L38">
        <v>126</v>
      </c>
      <c r="M38">
        <v>130</v>
      </c>
      <c r="N38">
        <v>126</v>
      </c>
    </row>
    <row r="39" spans="1:16">
      <c r="A39">
        <v>38</v>
      </c>
      <c r="B39" s="68">
        <v>43467</v>
      </c>
      <c r="C39" t="s">
        <v>244</v>
      </c>
      <c r="D39" t="s">
        <v>253</v>
      </c>
      <c r="E39">
        <v>35</v>
      </c>
      <c r="F39">
        <v>29</v>
      </c>
      <c r="G39">
        <v>64</v>
      </c>
      <c r="H39">
        <v>53</v>
      </c>
      <c r="I39">
        <v>88</v>
      </c>
      <c r="J39">
        <v>84</v>
      </c>
      <c r="K39">
        <v>114</v>
      </c>
      <c r="L39">
        <v>98</v>
      </c>
      <c r="M39">
        <v>114</v>
      </c>
      <c r="N39">
        <v>98</v>
      </c>
    </row>
  </sheetData>
  <sortState xmlns:xlrd2="http://schemas.microsoft.com/office/spreadsheetml/2017/richdata2" ref="A2:R65">
    <sortCondition ref="C1"/>
  </sortState>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7"/>
  <dimension ref="A1:R38"/>
  <sheetViews>
    <sheetView topLeftCell="V1" workbookViewId="0">
      <selection activeCell="AA3" sqref="AA3"/>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6328125" customWidth="1"/>
    <col min="20" max="20" width="22.453125" customWidth="1"/>
    <col min="21" max="21" width="23.1796875" customWidth="1"/>
    <col min="22" max="22" width="19.6328125" customWidth="1"/>
    <col min="23" max="23" width="23.36328125" customWidth="1"/>
    <col min="24" max="24" width="19" customWidth="1"/>
    <col min="25" max="25" width="25.36328125" customWidth="1"/>
    <col min="26" max="26" width="22.26953125" customWidth="1"/>
    <col min="27" max="27" width="26.089843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4</v>
      </c>
      <c r="B2" s="68">
        <v>43396</v>
      </c>
      <c r="C2" t="s">
        <v>243</v>
      </c>
      <c r="D2" t="s">
        <v>257</v>
      </c>
      <c r="E2">
        <v>26</v>
      </c>
      <c r="F2">
        <v>27</v>
      </c>
      <c r="G2">
        <v>62</v>
      </c>
      <c r="H2">
        <v>59</v>
      </c>
      <c r="I2">
        <v>84</v>
      </c>
      <c r="J2">
        <v>91</v>
      </c>
      <c r="K2">
        <v>109</v>
      </c>
      <c r="L2">
        <v>116</v>
      </c>
      <c r="M2">
        <v>109</v>
      </c>
      <c r="N2">
        <v>116</v>
      </c>
    </row>
    <row r="3" spans="1:18">
      <c r="A3">
        <v>5</v>
      </c>
      <c r="B3" s="68">
        <v>43399</v>
      </c>
      <c r="C3" t="s">
        <v>243</v>
      </c>
      <c r="D3" t="s">
        <v>258</v>
      </c>
      <c r="E3">
        <v>31</v>
      </c>
      <c r="F3">
        <v>30</v>
      </c>
      <c r="G3">
        <v>70</v>
      </c>
      <c r="H3">
        <v>61</v>
      </c>
      <c r="I3">
        <v>96</v>
      </c>
      <c r="J3">
        <v>83</v>
      </c>
      <c r="K3">
        <v>133</v>
      </c>
      <c r="L3">
        <v>113</v>
      </c>
      <c r="M3">
        <v>133</v>
      </c>
      <c r="N3">
        <v>113</v>
      </c>
    </row>
    <row r="4" spans="1:18">
      <c r="A4">
        <v>7</v>
      </c>
      <c r="B4" s="68">
        <v>43403</v>
      </c>
      <c r="C4" t="s">
        <v>243</v>
      </c>
      <c r="D4" t="s">
        <v>241</v>
      </c>
      <c r="E4">
        <v>33</v>
      </c>
      <c r="F4">
        <v>25</v>
      </c>
      <c r="G4">
        <v>67</v>
      </c>
      <c r="H4">
        <v>54</v>
      </c>
      <c r="I4">
        <v>77</v>
      </c>
      <c r="J4">
        <v>93</v>
      </c>
      <c r="K4">
        <v>110</v>
      </c>
      <c r="L4">
        <v>128</v>
      </c>
      <c r="M4">
        <v>110</v>
      </c>
      <c r="N4">
        <v>128</v>
      </c>
    </row>
    <row r="5" spans="1:18">
      <c r="A5">
        <v>8</v>
      </c>
      <c r="B5" s="68">
        <v>43405</v>
      </c>
      <c r="C5" t="s">
        <v>243</v>
      </c>
      <c r="D5" t="s">
        <v>239</v>
      </c>
      <c r="E5">
        <v>30</v>
      </c>
      <c r="F5">
        <v>34</v>
      </c>
      <c r="G5">
        <v>57</v>
      </c>
      <c r="H5">
        <v>72</v>
      </c>
      <c r="I5">
        <v>86</v>
      </c>
      <c r="J5">
        <v>90</v>
      </c>
      <c r="K5">
        <v>113</v>
      </c>
      <c r="L5">
        <v>122</v>
      </c>
      <c r="M5">
        <v>113</v>
      </c>
      <c r="N5">
        <v>122</v>
      </c>
    </row>
    <row r="6" spans="1:18">
      <c r="A6">
        <v>9</v>
      </c>
      <c r="B6" s="68">
        <v>43406</v>
      </c>
      <c r="C6" t="s">
        <v>243</v>
      </c>
      <c r="D6" t="s">
        <v>252</v>
      </c>
      <c r="E6">
        <v>22</v>
      </c>
      <c r="F6">
        <v>22</v>
      </c>
      <c r="G6">
        <v>57</v>
      </c>
      <c r="H6">
        <v>44</v>
      </c>
      <c r="I6">
        <v>87</v>
      </c>
      <c r="J6">
        <v>72</v>
      </c>
      <c r="K6">
        <v>120</v>
      </c>
      <c r="L6">
        <v>95</v>
      </c>
      <c r="M6">
        <v>120</v>
      </c>
      <c r="N6">
        <v>95</v>
      </c>
    </row>
    <row r="7" spans="1:18">
      <c r="A7">
        <v>11</v>
      </c>
      <c r="B7" s="68">
        <v>43412</v>
      </c>
      <c r="C7" t="s">
        <v>243</v>
      </c>
      <c r="D7" t="s">
        <v>270</v>
      </c>
      <c r="E7">
        <v>28</v>
      </c>
      <c r="F7">
        <v>37</v>
      </c>
      <c r="G7">
        <v>57</v>
      </c>
      <c r="H7">
        <v>61</v>
      </c>
      <c r="I7">
        <v>81</v>
      </c>
      <c r="J7">
        <v>84</v>
      </c>
      <c r="K7">
        <v>105</v>
      </c>
      <c r="L7">
        <v>116</v>
      </c>
      <c r="M7">
        <v>105</v>
      </c>
      <c r="N7">
        <v>116</v>
      </c>
    </row>
    <row r="8" spans="1:18">
      <c r="A8">
        <v>15</v>
      </c>
      <c r="B8" s="68">
        <v>43421</v>
      </c>
      <c r="C8" t="s">
        <v>243</v>
      </c>
      <c r="D8" t="s">
        <v>247</v>
      </c>
      <c r="E8">
        <v>32</v>
      </c>
      <c r="F8">
        <v>37</v>
      </c>
      <c r="G8">
        <v>60</v>
      </c>
      <c r="H8">
        <v>67</v>
      </c>
      <c r="I8">
        <v>90</v>
      </c>
      <c r="J8">
        <v>97</v>
      </c>
      <c r="K8">
        <v>127</v>
      </c>
      <c r="L8">
        <v>119</v>
      </c>
      <c r="M8">
        <v>127</v>
      </c>
      <c r="N8">
        <v>119</v>
      </c>
    </row>
    <row r="9" spans="1:18">
      <c r="A9">
        <v>16</v>
      </c>
      <c r="B9" s="68">
        <v>43423</v>
      </c>
      <c r="C9" t="s">
        <v>243</v>
      </c>
      <c r="D9" t="s">
        <v>253</v>
      </c>
      <c r="E9">
        <v>29</v>
      </c>
      <c r="F9">
        <v>34</v>
      </c>
      <c r="G9">
        <v>61</v>
      </c>
      <c r="H9">
        <v>64</v>
      </c>
      <c r="I9">
        <v>89</v>
      </c>
      <c r="J9">
        <v>96</v>
      </c>
      <c r="K9">
        <v>127</v>
      </c>
      <c r="L9">
        <v>119</v>
      </c>
      <c r="M9">
        <v>127</v>
      </c>
      <c r="N9">
        <v>119</v>
      </c>
    </row>
    <row r="10" spans="1:18">
      <c r="A10">
        <v>17</v>
      </c>
      <c r="B10" s="68">
        <v>43424</v>
      </c>
      <c r="C10" t="s">
        <v>243</v>
      </c>
      <c r="D10" t="s">
        <v>268</v>
      </c>
      <c r="E10">
        <v>40</v>
      </c>
      <c r="F10">
        <v>21</v>
      </c>
      <c r="G10">
        <v>73</v>
      </c>
      <c r="H10">
        <v>54</v>
      </c>
      <c r="I10">
        <v>95</v>
      </c>
      <c r="J10">
        <v>86</v>
      </c>
      <c r="K10">
        <v>118</v>
      </c>
      <c r="L10">
        <v>125</v>
      </c>
      <c r="M10">
        <v>118</v>
      </c>
      <c r="N10">
        <v>125</v>
      </c>
    </row>
    <row r="11" spans="1:18">
      <c r="A11">
        <v>19</v>
      </c>
      <c r="B11" s="68">
        <v>43429</v>
      </c>
      <c r="C11" t="s">
        <v>243</v>
      </c>
      <c r="D11" t="s">
        <v>270</v>
      </c>
      <c r="E11">
        <v>24</v>
      </c>
      <c r="F11">
        <v>28</v>
      </c>
      <c r="G11">
        <v>45</v>
      </c>
      <c r="H11">
        <v>58</v>
      </c>
      <c r="I11">
        <v>83</v>
      </c>
      <c r="J11">
        <v>74</v>
      </c>
      <c r="K11">
        <v>104</v>
      </c>
      <c r="L11">
        <v>100</v>
      </c>
      <c r="M11">
        <v>104</v>
      </c>
      <c r="N11">
        <v>100</v>
      </c>
    </row>
    <row r="12" spans="1:18">
      <c r="A12">
        <v>21</v>
      </c>
      <c r="B12" s="68">
        <v>43433</v>
      </c>
      <c r="C12" t="s">
        <v>243</v>
      </c>
      <c r="D12" t="s">
        <v>262</v>
      </c>
      <c r="E12">
        <v>42</v>
      </c>
      <c r="F12">
        <v>26</v>
      </c>
      <c r="G12">
        <v>71</v>
      </c>
      <c r="H12">
        <v>68</v>
      </c>
      <c r="I12">
        <v>101</v>
      </c>
      <c r="J12">
        <v>93</v>
      </c>
      <c r="K12">
        <v>133</v>
      </c>
      <c r="L12">
        <v>121</v>
      </c>
      <c r="M12">
        <v>133</v>
      </c>
      <c r="N12">
        <v>121</v>
      </c>
    </row>
    <row r="13" spans="1:18">
      <c r="A13">
        <v>22</v>
      </c>
      <c r="B13" s="68">
        <v>43436</v>
      </c>
      <c r="C13" t="s">
        <v>243</v>
      </c>
      <c r="D13" t="s">
        <v>265</v>
      </c>
      <c r="E13">
        <v>35</v>
      </c>
      <c r="F13">
        <v>34</v>
      </c>
      <c r="G13">
        <v>58</v>
      </c>
      <c r="H13">
        <v>62</v>
      </c>
      <c r="I13">
        <v>80</v>
      </c>
      <c r="J13">
        <v>88</v>
      </c>
      <c r="K13">
        <v>110</v>
      </c>
      <c r="L13">
        <v>114</v>
      </c>
      <c r="M13">
        <v>110</v>
      </c>
      <c r="N13">
        <v>114</v>
      </c>
    </row>
    <row r="14" spans="1:18">
      <c r="A14">
        <v>23</v>
      </c>
      <c r="B14" s="68">
        <v>43437</v>
      </c>
      <c r="C14" t="s">
        <v>243</v>
      </c>
      <c r="D14" t="s">
        <v>257</v>
      </c>
      <c r="E14">
        <v>36</v>
      </c>
      <c r="F14">
        <v>29</v>
      </c>
      <c r="G14">
        <v>77</v>
      </c>
      <c r="H14">
        <v>65</v>
      </c>
      <c r="I14">
        <v>101</v>
      </c>
      <c r="J14">
        <v>97</v>
      </c>
      <c r="K14">
        <v>129</v>
      </c>
      <c r="L14">
        <v>126</v>
      </c>
      <c r="M14">
        <v>129</v>
      </c>
      <c r="N14">
        <v>126</v>
      </c>
    </row>
    <row r="15" spans="1:18">
      <c r="A15">
        <v>24</v>
      </c>
      <c r="B15" s="68">
        <v>43439</v>
      </c>
      <c r="C15" t="s">
        <v>243</v>
      </c>
      <c r="D15" t="s">
        <v>249</v>
      </c>
      <c r="E15">
        <v>15</v>
      </c>
      <c r="F15">
        <v>27</v>
      </c>
      <c r="G15">
        <v>42</v>
      </c>
      <c r="H15">
        <v>51</v>
      </c>
      <c r="I15">
        <v>69</v>
      </c>
      <c r="J15">
        <v>69</v>
      </c>
      <c r="K15">
        <v>86</v>
      </c>
      <c r="L15">
        <v>96</v>
      </c>
      <c r="M15">
        <v>86</v>
      </c>
      <c r="N15">
        <v>96</v>
      </c>
    </row>
    <row r="16" spans="1:18">
      <c r="A16">
        <v>26</v>
      </c>
      <c r="B16" s="68">
        <v>43444</v>
      </c>
      <c r="C16" t="s">
        <v>243</v>
      </c>
      <c r="D16" t="s">
        <v>266</v>
      </c>
      <c r="E16">
        <v>21</v>
      </c>
      <c r="F16">
        <v>29</v>
      </c>
      <c r="G16">
        <v>58</v>
      </c>
      <c r="H16">
        <v>56</v>
      </c>
      <c r="I16">
        <v>88</v>
      </c>
      <c r="J16">
        <v>86</v>
      </c>
      <c r="K16">
        <v>111</v>
      </c>
      <c r="L16">
        <v>111</v>
      </c>
      <c r="M16">
        <v>123</v>
      </c>
      <c r="N16">
        <v>119</v>
      </c>
      <c r="O16">
        <v>123</v>
      </c>
      <c r="P16">
        <v>119</v>
      </c>
    </row>
    <row r="17" spans="1:16">
      <c r="A17">
        <v>28</v>
      </c>
      <c r="B17" s="68">
        <v>43447</v>
      </c>
      <c r="C17" t="s">
        <v>243</v>
      </c>
      <c r="D17" t="s">
        <v>260</v>
      </c>
      <c r="E17">
        <v>27</v>
      </c>
      <c r="F17">
        <v>38</v>
      </c>
      <c r="G17">
        <v>57</v>
      </c>
      <c r="H17">
        <v>66</v>
      </c>
      <c r="I17">
        <v>77</v>
      </c>
      <c r="J17">
        <v>98</v>
      </c>
      <c r="K17">
        <v>87</v>
      </c>
      <c r="L17">
        <v>125</v>
      </c>
      <c r="M17">
        <v>87</v>
      </c>
      <c r="N17">
        <v>125</v>
      </c>
    </row>
    <row r="18" spans="1:16">
      <c r="A18">
        <v>29</v>
      </c>
      <c r="B18" s="68">
        <v>43449</v>
      </c>
      <c r="C18" t="s">
        <v>243</v>
      </c>
      <c r="D18" t="s">
        <v>241</v>
      </c>
      <c r="E18">
        <v>25</v>
      </c>
      <c r="F18">
        <v>30</v>
      </c>
      <c r="G18">
        <v>50</v>
      </c>
      <c r="H18">
        <v>61</v>
      </c>
      <c r="I18">
        <v>69</v>
      </c>
      <c r="J18">
        <v>86</v>
      </c>
      <c r="K18">
        <v>104</v>
      </c>
      <c r="L18">
        <v>110</v>
      </c>
      <c r="M18">
        <v>104</v>
      </c>
      <c r="N18">
        <v>110</v>
      </c>
    </row>
    <row r="19" spans="1:16">
      <c r="A19">
        <v>33</v>
      </c>
      <c r="B19" s="68">
        <v>43457</v>
      </c>
      <c r="C19" t="s">
        <v>243</v>
      </c>
      <c r="D19" t="s">
        <v>242</v>
      </c>
      <c r="E19">
        <v>36</v>
      </c>
      <c r="F19">
        <v>36</v>
      </c>
      <c r="G19">
        <v>71</v>
      </c>
      <c r="H19">
        <v>67</v>
      </c>
      <c r="I19">
        <v>94</v>
      </c>
      <c r="J19">
        <v>103</v>
      </c>
      <c r="K19">
        <v>127</v>
      </c>
      <c r="L19">
        <v>129</v>
      </c>
      <c r="M19">
        <v>127</v>
      </c>
      <c r="N19">
        <v>129</v>
      </c>
    </row>
    <row r="20" spans="1:16">
      <c r="A20">
        <v>35</v>
      </c>
      <c r="B20" s="68">
        <v>43462</v>
      </c>
      <c r="C20" t="s">
        <v>243</v>
      </c>
      <c r="D20" t="s">
        <v>269</v>
      </c>
      <c r="E20">
        <v>28</v>
      </c>
      <c r="F20">
        <v>23</v>
      </c>
      <c r="G20">
        <v>51</v>
      </c>
      <c r="H20">
        <v>54</v>
      </c>
      <c r="I20">
        <v>82</v>
      </c>
      <c r="J20">
        <v>80</v>
      </c>
      <c r="K20">
        <v>118</v>
      </c>
      <c r="L20">
        <v>107</v>
      </c>
      <c r="M20">
        <v>118</v>
      </c>
      <c r="N20">
        <v>107</v>
      </c>
    </row>
    <row r="21" spans="1:16">
      <c r="A21">
        <v>1</v>
      </c>
      <c r="B21" s="68">
        <v>43390</v>
      </c>
      <c r="C21" t="s">
        <v>244</v>
      </c>
      <c r="D21" t="s">
        <v>263</v>
      </c>
      <c r="E21">
        <v>24</v>
      </c>
      <c r="F21">
        <v>29</v>
      </c>
      <c r="G21">
        <v>54</v>
      </c>
      <c r="H21">
        <v>59</v>
      </c>
      <c r="I21">
        <v>72</v>
      </c>
      <c r="J21">
        <v>74</v>
      </c>
      <c r="K21">
        <v>98</v>
      </c>
      <c r="L21">
        <v>107</v>
      </c>
      <c r="M21">
        <v>98</v>
      </c>
      <c r="N21">
        <v>107</v>
      </c>
    </row>
    <row r="22" spans="1:16">
      <c r="A22">
        <v>2</v>
      </c>
      <c r="B22" s="68">
        <v>43392</v>
      </c>
      <c r="C22" t="s">
        <v>244</v>
      </c>
      <c r="D22" t="s">
        <v>241</v>
      </c>
      <c r="E22">
        <v>27</v>
      </c>
      <c r="F22">
        <v>20</v>
      </c>
      <c r="G22">
        <v>48</v>
      </c>
      <c r="H22">
        <v>46</v>
      </c>
      <c r="I22">
        <v>71</v>
      </c>
      <c r="J22">
        <v>77</v>
      </c>
      <c r="K22">
        <v>108</v>
      </c>
      <c r="L22">
        <v>92</v>
      </c>
      <c r="M22">
        <v>108</v>
      </c>
      <c r="N22">
        <v>92</v>
      </c>
    </row>
    <row r="23" spans="1:16">
      <c r="A23">
        <v>3</v>
      </c>
      <c r="B23" s="68">
        <v>43394</v>
      </c>
      <c r="C23" t="s">
        <v>244</v>
      </c>
      <c r="D23" t="s">
        <v>258</v>
      </c>
      <c r="E23">
        <v>29</v>
      </c>
      <c r="F23">
        <v>24</v>
      </c>
      <c r="G23">
        <v>54</v>
      </c>
      <c r="H23">
        <v>53</v>
      </c>
      <c r="I23">
        <v>93</v>
      </c>
      <c r="J23">
        <v>84</v>
      </c>
      <c r="K23">
        <v>115</v>
      </c>
      <c r="L23">
        <v>112</v>
      </c>
      <c r="M23">
        <v>115</v>
      </c>
      <c r="N23">
        <v>112</v>
      </c>
    </row>
    <row r="24" spans="1:16">
      <c r="A24">
        <v>6</v>
      </c>
      <c r="B24" s="68">
        <v>43401</v>
      </c>
      <c r="C24" t="s">
        <v>244</v>
      </c>
      <c r="D24" t="s">
        <v>268</v>
      </c>
      <c r="E24">
        <v>28</v>
      </c>
      <c r="F24">
        <v>20</v>
      </c>
      <c r="G24">
        <v>69</v>
      </c>
      <c r="H24">
        <v>54</v>
      </c>
      <c r="I24">
        <v>97</v>
      </c>
      <c r="J24">
        <v>77</v>
      </c>
      <c r="K24">
        <v>136</v>
      </c>
      <c r="L24">
        <v>104</v>
      </c>
      <c r="M24">
        <v>136</v>
      </c>
      <c r="N24">
        <v>104</v>
      </c>
    </row>
    <row r="25" spans="1:16">
      <c r="A25">
        <v>10</v>
      </c>
      <c r="B25" s="68">
        <v>43409</v>
      </c>
      <c r="C25" t="s">
        <v>244</v>
      </c>
      <c r="D25" t="s">
        <v>259</v>
      </c>
      <c r="E25">
        <v>31</v>
      </c>
      <c r="F25">
        <v>33</v>
      </c>
      <c r="G25">
        <v>63</v>
      </c>
      <c r="H25">
        <v>59</v>
      </c>
      <c r="I25">
        <v>92</v>
      </c>
      <c r="J25">
        <v>84</v>
      </c>
      <c r="K25">
        <v>120</v>
      </c>
      <c r="L25">
        <v>109</v>
      </c>
      <c r="M25">
        <v>120</v>
      </c>
      <c r="N25">
        <v>109</v>
      </c>
    </row>
    <row r="26" spans="1:16">
      <c r="A26">
        <v>12</v>
      </c>
      <c r="B26" s="68">
        <v>43414</v>
      </c>
      <c r="C26" t="s">
        <v>244</v>
      </c>
      <c r="D26" t="s">
        <v>245</v>
      </c>
      <c r="E26">
        <v>33</v>
      </c>
      <c r="F26">
        <v>24</v>
      </c>
      <c r="G26">
        <v>62</v>
      </c>
      <c r="H26">
        <v>64</v>
      </c>
      <c r="I26">
        <v>89</v>
      </c>
      <c r="J26">
        <v>84</v>
      </c>
      <c r="K26">
        <v>119</v>
      </c>
      <c r="L26">
        <v>119</v>
      </c>
      <c r="M26">
        <v>128</v>
      </c>
      <c r="N26">
        <v>126</v>
      </c>
      <c r="O26">
        <v>128</v>
      </c>
      <c r="P26">
        <v>126</v>
      </c>
    </row>
    <row r="27" spans="1:16">
      <c r="A27">
        <v>13</v>
      </c>
      <c r="B27" s="68">
        <v>43416</v>
      </c>
      <c r="C27" t="s">
        <v>244</v>
      </c>
      <c r="D27" t="s">
        <v>242</v>
      </c>
      <c r="E27">
        <v>34</v>
      </c>
      <c r="F27">
        <v>30</v>
      </c>
      <c r="G27">
        <v>64</v>
      </c>
      <c r="H27">
        <v>61</v>
      </c>
      <c r="I27">
        <v>90</v>
      </c>
      <c r="J27">
        <v>81</v>
      </c>
      <c r="K27">
        <v>106</v>
      </c>
      <c r="L27">
        <v>106</v>
      </c>
      <c r="M27">
        <v>121</v>
      </c>
      <c r="N27">
        <v>116</v>
      </c>
      <c r="O27">
        <v>121</v>
      </c>
      <c r="P27">
        <v>116</v>
      </c>
    </row>
    <row r="28" spans="1:16">
      <c r="A28">
        <v>14</v>
      </c>
      <c r="B28" s="68">
        <v>43419</v>
      </c>
      <c r="C28" t="s">
        <v>244</v>
      </c>
      <c r="D28" t="s">
        <v>260</v>
      </c>
      <c r="E28">
        <v>29</v>
      </c>
      <c r="F28">
        <v>28</v>
      </c>
      <c r="G28">
        <v>61</v>
      </c>
      <c r="H28">
        <v>60</v>
      </c>
      <c r="I28">
        <v>91</v>
      </c>
      <c r="J28">
        <v>84</v>
      </c>
      <c r="K28">
        <v>116</v>
      </c>
      <c r="L28">
        <v>111</v>
      </c>
      <c r="M28">
        <v>116</v>
      </c>
      <c r="N28">
        <v>111</v>
      </c>
    </row>
    <row r="29" spans="1:16">
      <c r="A29">
        <v>18</v>
      </c>
      <c r="B29" s="68">
        <v>43427</v>
      </c>
      <c r="C29" t="s">
        <v>244</v>
      </c>
      <c r="D29" t="s">
        <v>249</v>
      </c>
      <c r="E29">
        <v>16</v>
      </c>
      <c r="F29">
        <v>22</v>
      </c>
      <c r="G29">
        <v>44</v>
      </c>
      <c r="H29">
        <v>52</v>
      </c>
      <c r="I29">
        <v>75</v>
      </c>
      <c r="J29">
        <v>70</v>
      </c>
      <c r="K29">
        <v>98</v>
      </c>
      <c r="L29">
        <v>98</v>
      </c>
      <c r="M29">
        <v>112</v>
      </c>
      <c r="N29">
        <v>107</v>
      </c>
      <c r="O29">
        <v>112</v>
      </c>
      <c r="P29">
        <v>107</v>
      </c>
    </row>
    <row r="30" spans="1:16">
      <c r="A30">
        <v>20</v>
      </c>
      <c r="B30" s="68">
        <v>43432</v>
      </c>
      <c r="C30" t="s">
        <v>244</v>
      </c>
      <c r="D30" t="s">
        <v>266</v>
      </c>
      <c r="E30">
        <v>26</v>
      </c>
      <c r="F30">
        <v>22</v>
      </c>
      <c r="G30">
        <v>49</v>
      </c>
      <c r="H30">
        <v>49</v>
      </c>
      <c r="I30">
        <v>89</v>
      </c>
      <c r="J30">
        <v>74</v>
      </c>
      <c r="K30">
        <v>115</v>
      </c>
      <c r="L30">
        <v>99</v>
      </c>
      <c r="M30">
        <v>115</v>
      </c>
      <c r="N30">
        <v>99</v>
      </c>
    </row>
    <row r="31" spans="1:16">
      <c r="A31">
        <v>25</v>
      </c>
      <c r="B31" s="68">
        <v>43442</v>
      </c>
      <c r="C31" t="s">
        <v>244</v>
      </c>
      <c r="D31" t="s">
        <v>251</v>
      </c>
      <c r="E31">
        <v>30</v>
      </c>
      <c r="F31">
        <v>34</v>
      </c>
      <c r="G31">
        <v>62</v>
      </c>
      <c r="H31">
        <v>65</v>
      </c>
      <c r="I31">
        <v>90</v>
      </c>
      <c r="J31">
        <v>91</v>
      </c>
      <c r="K31">
        <v>98</v>
      </c>
      <c r="L31">
        <v>121</v>
      </c>
      <c r="M31">
        <v>98</v>
      </c>
      <c r="N31">
        <v>121</v>
      </c>
    </row>
    <row r="32" spans="1:16">
      <c r="A32">
        <v>27</v>
      </c>
      <c r="B32" s="68">
        <v>43445</v>
      </c>
      <c r="C32" t="s">
        <v>244</v>
      </c>
      <c r="D32" t="s">
        <v>256</v>
      </c>
      <c r="E32">
        <v>23</v>
      </c>
      <c r="F32">
        <v>36</v>
      </c>
      <c r="G32">
        <v>57</v>
      </c>
      <c r="H32">
        <v>70</v>
      </c>
      <c r="I32">
        <v>74</v>
      </c>
      <c r="J32">
        <v>103</v>
      </c>
      <c r="K32">
        <v>99</v>
      </c>
      <c r="L32">
        <v>123</v>
      </c>
      <c r="M32">
        <v>99</v>
      </c>
      <c r="N32">
        <v>123</v>
      </c>
    </row>
    <row r="33" spans="1:14">
      <c r="A33">
        <v>30</v>
      </c>
      <c r="B33" s="68">
        <v>43451</v>
      </c>
      <c r="C33" t="s">
        <v>244</v>
      </c>
      <c r="D33" t="s">
        <v>270</v>
      </c>
      <c r="E33">
        <v>29</v>
      </c>
      <c r="F33">
        <v>37</v>
      </c>
      <c r="G33">
        <v>60</v>
      </c>
      <c r="H33">
        <v>58</v>
      </c>
      <c r="I33">
        <v>88</v>
      </c>
      <c r="J33">
        <v>100</v>
      </c>
      <c r="K33">
        <v>127</v>
      </c>
      <c r="L33">
        <v>131</v>
      </c>
      <c r="M33">
        <v>127</v>
      </c>
      <c r="N33">
        <v>131</v>
      </c>
    </row>
    <row r="34" spans="1:14">
      <c r="A34">
        <v>31</v>
      </c>
      <c r="B34" s="68">
        <v>43454</v>
      </c>
      <c r="C34" t="s">
        <v>244</v>
      </c>
      <c r="D34" t="s">
        <v>265</v>
      </c>
      <c r="E34">
        <v>30</v>
      </c>
      <c r="F34">
        <v>27</v>
      </c>
      <c r="G34">
        <v>65</v>
      </c>
      <c r="H34">
        <v>54</v>
      </c>
      <c r="I34">
        <v>89</v>
      </c>
      <c r="J34">
        <v>82</v>
      </c>
      <c r="K34">
        <v>125</v>
      </c>
      <c r="L34">
        <v>121</v>
      </c>
      <c r="M34">
        <v>125</v>
      </c>
      <c r="N34">
        <v>121</v>
      </c>
    </row>
    <row r="35" spans="1:14">
      <c r="A35">
        <v>32</v>
      </c>
      <c r="B35" s="68">
        <v>43456</v>
      </c>
      <c r="C35" t="s">
        <v>244</v>
      </c>
      <c r="D35" t="s">
        <v>263</v>
      </c>
      <c r="E35">
        <v>34</v>
      </c>
      <c r="F35">
        <v>26</v>
      </c>
      <c r="G35">
        <v>68</v>
      </c>
      <c r="H35">
        <v>59</v>
      </c>
      <c r="I35">
        <v>103</v>
      </c>
      <c r="J35">
        <v>86</v>
      </c>
      <c r="K35">
        <v>132</v>
      </c>
      <c r="L35">
        <v>111</v>
      </c>
      <c r="M35">
        <v>132</v>
      </c>
      <c r="N35">
        <v>111</v>
      </c>
    </row>
    <row r="36" spans="1:14">
      <c r="A36">
        <v>34</v>
      </c>
      <c r="B36" s="68">
        <v>43460</v>
      </c>
      <c r="C36" t="s">
        <v>244</v>
      </c>
      <c r="D36" t="s">
        <v>262</v>
      </c>
      <c r="E36">
        <v>39</v>
      </c>
      <c r="F36">
        <v>27</v>
      </c>
      <c r="G36">
        <v>71</v>
      </c>
      <c r="H36">
        <v>56</v>
      </c>
      <c r="I36">
        <v>102</v>
      </c>
      <c r="J36">
        <v>85</v>
      </c>
      <c r="K36">
        <v>127</v>
      </c>
      <c r="L36">
        <v>118</v>
      </c>
      <c r="M36">
        <v>127</v>
      </c>
      <c r="N36">
        <v>118</v>
      </c>
    </row>
    <row r="37" spans="1:14">
      <c r="A37">
        <v>36</v>
      </c>
      <c r="B37" s="68">
        <v>43463</v>
      </c>
      <c r="C37" t="s">
        <v>244</v>
      </c>
      <c r="D37" t="s">
        <v>260</v>
      </c>
      <c r="E37">
        <v>30</v>
      </c>
      <c r="F37">
        <v>32</v>
      </c>
      <c r="G37">
        <v>56</v>
      </c>
      <c r="H37">
        <v>56</v>
      </c>
      <c r="I37">
        <v>75</v>
      </c>
      <c r="J37">
        <v>95</v>
      </c>
      <c r="K37">
        <v>111</v>
      </c>
      <c r="L37">
        <v>122</v>
      </c>
      <c r="M37">
        <v>111</v>
      </c>
      <c r="N37">
        <v>122</v>
      </c>
    </row>
    <row r="38" spans="1:14">
      <c r="A38">
        <v>37</v>
      </c>
      <c r="B38" s="68">
        <v>43466</v>
      </c>
      <c r="C38" t="s">
        <v>244</v>
      </c>
      <c r="D38" t="s">
        <v>239</v>
      </c>
      <c r="E38">
        <v>28</v>
      </c>
      <c r="F38">
        <v>41</v>
      </c>
      <c r="G38">
        <v>58</v>
      </c>
      <c r="H38">
        <v>76</v>
      </c>
      <c r="I38">
        <v>88</v>
      </c>
      <c r="J38">
        <v>101</v>
      </c>
      <c r="K38">
        <v>113</v>
      </c>
      <c r="L38">
        <v>119</v>
      </c>
      <c r="M38">
        <v>113</v>
      </c>
      <c r="N38">
        <v>119</v>
      </c>
    </row>
  </sheetData>
  <sortState xmlns:xlrd2="http://schemas.microsoft.com/office/spreadsheetml/2017/richdata2" ref="A2:R63">
    <sortCondition ref="C1"/>
  </sortState>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6"/>
  <dimension ref="A1:R38"/>
  <sheetViews>
    <sheetView workbookViewId="0">
      <selection activeCell="C2" sqref="C2:C6"/>
    </sheetView>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43390</v>
      </c>
      <c r="C2" t="s">
        <v>243</v>
      </c>
      <c r="D2" t="s">
        <v>254</v>
      </c>
      <c r="E2">
        <v>24</v>
      </c>
      <c r="F2">
        <v>23</v>
      </c>
      <c r="G2">
        <v>49</v>
      </c>
      <c r="H2">
        <v>72</v>
      </c>
      <c r="I2">
        <v>84</v>
      </c>
      <c r="J2">
        <v>106</v>
      </c>
      <c r="K2">
        <v>107</v>
      </c>
      <c r="L2">
        <v>126</v>
      </c>
      <c r="M2">
        <v>107</v>
      </c>
      <c r="N2">
        <v>126</v>
      </c>
    </row>
    <row r="3" spans="1:18">
      <c r="A3">
        <v>2</v>
      </c>
      <c r="B3" s="68">
        <v>43392</v>
      </c>
      <c r="C3" t="s">
        <v>243</v>
      </c>
      <c r="D3" t="s">
        <v>249</v>
      </c>
      <c r="E3">
        <v>33</v>
      </c>
      <c r="F3">
        <v>37</v>
      </c>
      <c r="G3">
        <v>61</v>
      </c>
      <c r="H3">
        <v>77</v>
      </c>
      <c r="I3">
        <v>82</v>
      </c>
      <c r="J3">
        <v>106</v>
      </c>
      <c r="K3">
        <v>117</v>
      </c>
      <c r="L3">
        <v>131</v>
      </c>
      <c r="M3">
        <v>117</v>
      </c>
      <c r="N3">
        <v>131</v>
      </c>
    </row>
    <row r="4" spans="1:18">
      <c r="A4">
        <v>3</v>
      </c>
      <c r="B4" s="68">
        <v>43394</v>
      </c>
      <c r="C4" t="s">
        <v>243</v>
      </c>
      <c r="D4" t="s">
        <v>255</v>
      </c>
      <c r="E4">
        <v>24</v>
      </c>
      <c r="F4">
        <v>34</v>
      </c>
      <c r="G4">
        <v>64</v>
      </c>
      <c r="H4">
        <v>60</v>
      </c>
      <c r="I4">
        <v>92</v>
      </c>
      <c r="J4">
        <v>86</v>
      </c>
      <c r="K4">
        <v>133</v>
      </c>
      <c r="L4">
        <v>111</v>
      </c>
      <c r="M4">
        <v>133</v>
      </c>
      <c r="N4">
        <v>111</v>
      </c>
    </row>
    <row r="5" spans="1:18">
      <c r="A5">
        <v>6</v>
      </c>
      <c r="B5" s="68">
        <v>43402</v>
      </c>
      <c r="C5" t="s">
        <v>243</v>
      </c>
      <c r="D5" t="s">
        <v>239</v>
      </c>
      <c r="E5">
        <v>25</v>
      </c>
      <c r="F5">
        <v>20</v>
      </c>
      <c r="G5">
        <v>47</v>
      </c>
      <c r="H5">
        <v>47</v>
      </c>
      <c r="I5">
        <v>60</v>
      </c>
      <c r="J5">
        <v>78</v>
      </c>
      <c r="K5">
        <v>92</v>
      </c>
      <c r="L5">
        <v>113</v>
      </c>
      <c r="M5">
        <v>92</v>
      </c>
      <c r="N5">
        <v>113</v>
      </c>
    </row>
    <row r="6" spans="1:18">
      <c r="A6">
        <v>7</v>
      </c>
      <c r="B6" s="68">
        <v>43403</v>
      </c>
      <c r="C6" t="s">
        <v>243</v>
      </c>
      <c r="D6" t="s">
        <v>255</v>
      </c>
      <c r="E6">
        <v>31</v>
      </c>
      <c r="F6">
        <v>35</v>
      </c>
      <c r="G6">
        <v>57</v>
      </c>
      <c r="H6">
        <v>58</v>
      </c>
      <c r="I6">
        <v>87</v>
      </c>
      <c r="J6">
        <v>99</v>
      </c>
      <c r="K6">
        <v>114</v>
      </c>
      <c r="L6">
        <v>136</v>
      </c>
      <c r="M6">
        <v>114</v>
      </c>
      <c r="N6">
        <v>136</v>
      </c>
    </row>
    <row r="7" spans="1:18">
      <c r="A7">
        <v>10</v>
      </c>
      <c r="B7" s="68">
        <v>43410</v>
      </c>
      <c r="C7" t="s">
        <v>243</v>
      </c>
      <c r="D7" t="s">
        <v>246</v>
      </c>
      <c r="E7">
        <v>25</v>
      </c>
      <c r="F7">
        <v>23</v>
      </c>
      <c r="G7">
        <v>54</v>
      </c>
      <c r="H7">
        <v>51</v>
      </c>
      <c r="I7">
        <v>77</v>
      </c>
      <c r="J7">
        <v>81</v>
      </c>
      <c r="K7">
        <v>102</v>
      </c>
      <c r="L7">
        <v>113</v>
      </c>
      <c r="M7">
        <v>102</v>
      </c>
      <c r="N7">
        <v>113</v>
      </c>
    </row>
    <row r="8" spans="1:18">
      <c r="A8">
        <v>13</v>
      </c>
      <c r="B8" s="68">
        <v>43415</v>
      </c>
      <c r="C8" t="s">
        <v>243</v>
      </c>
      <c r="D8" t="s">
        <v>269</v>
      </c>
      <c r="E8">
        <v>22</v>
      </c>
      <c r="F8">
        <v>28</v>
      </c>
      <c r="G8">
        <v>53</v>
      </c>
      <c r="H8">
        <v>52</v>
      </c>
      <c r="I8">
        <v>75</v>
      </c>
      <c r="J8">
        <v>84</v>
      </c>
      <c r="K8">
        <v>106</v>
      </c>
      <c r="L8">
        <v>107</v>
      </c>
      <c r="M8">
        <v>106</v>
      </c>
      <c r="N8">
        <v>107</v>
      </c>
    </row>
    <row r="9" spans="1:18">
      <c r="A9">
        <v>14</v>
      </c>
      <c r="B9" s="68">
        <v>43417</v>
      </c>
      <c r="C9" t="s">
        <v>243</v>
      </c>
      <c r="D9" t="s">
        <v>242</v>
      </c>
      <c r="E9">
        <v>23</v>
      </c>
      <c r="F9">
        <v>20</v>
      </c>
      <c r="G9">
        <v>52</v>
      </c>
      <c r="H9">
        <v>49</v>
      </c>
      <c r="I9">
        <v>76</v>
      </c>
      <c r="J9">
        <v>82</v>
      </c>
      <c r="K9">
        <v>103</v>
      </c>
      <c r="L9">
        <v>110</v>
      </c>
      <c r="M9">
        <v>103</v>
      </c>
      <c r="N9">
        <v>110</v>
      </c>
    </row>
    <row r="10" spans="1:18">
      <c r="A10">
        <v>15</v>
      </c>
      <c r="B10" s="68">
        <v>43419</v>
      </c>
      <c r="C10" t="s">
        <v>243</v>
      </c>
      <c r="D10" t="s">
        <v>263</v>
      </c>
      <c r="E10">
        <v>23</v>
      </c>
      <c r="F10">
        <v>35</v>
      </c>
      <c r="G10">
        <v>57</v>
      </c>
      <c r="H10">
        <v>73</v>
      </c>
      <c r="I10">
        <v>73</v>
      </c>
      <c r="J10">
        <v>109</v>
      </c>
      <c r="K10">
        <v>93</v>
      </c>
      <c r="L10">
        <v>138</v>
      </c>
      <c r="M10">
        <v>93</v>
      </c>
      <c r="N10">
        <v>138</v>
      </c>
    </row>
    <row r="11" spans="1:18">
      <c r="A11">
        <v>16</v>
      </c>
      <c r="B11" s="68">
        <v>43421</v>
      </c>
      <c r="C11" t="s">
        <v>243</v>
      </c>
      <c r="D11" t="s">
        <v>250</v>
      </c>
      <c r="E11">
        <v>24</v>
      </c>
      <c r="F11">
        <v>25</v>
      </c>
      <c r="G11">
        <v>56</v>
      </c>
      <c r="H11">
        <v>47</v>
      </c>
      <c r="I11">
        <v>72</v>
      </c>
      <c r="J11">
        <v>73</v>
      </c>
      <c r="K11">
        <v>89</v>
      </c>
      <c r="L11">
        <v>97</v>
      </c>
      <c r="M11">
        <v>89</v>
      </c>
      <c r="N11">
        <v>97</v>
      </c>
    </row>
    <row r="12" spans="1:18">
      <c r="A12">
        <v>21</v>
      </c>
      <c r="B12" s="68">
        <v>43431</v>
      </c>
      <c r="C12" t="s">
        <v>243</v>
      </c>
      <c r="D12" t="s">
        <v>251</v>
      </c>
      <c r="E12">
        <v>35</v>
      </c>
      <c r="F12">
        <v>38</v>
      </c>
      <c r="G12">
        <v>68</v>
      </c>
      <c r="H12">
        <v>52</v>
      </c>
      <c r="I12">
        <v>100</v>
      </c>
      <c r="J12">
        <v>86</v>
      </c>
      <c r="K12">
        <v>115</v>
      </c>
      <c r="L12">
        <v>113</v>
      </c>
      <c r="M12">
        <v>115</v>
      </c>
      <c r="N12">
        <v>113</v>
      </c>
    </row>
    <row r="13" spans="1:18">
      <c r="A13">
        <v>22</v>
      </c>
      <c r="B13" s="68">
        <v>43432</v>
      </c>
      <c r="C13" t="s">
        <v>243</v>
      </c>
      <c r="D13" t="s">
        <v>246</v>
      </c>
      <c r="E13">
        <v>28</v>
      </c>
      <c r="F13">
        <v>24</v>
      </c>
      <c r="G13">
        <v>49</v>
      </c>
      <c r="H13">
        <v>55</v>
      </c>
      <c r="I13">
        <v>75</v>
      </c>
      <c r="J13">
        <v>86</v>
      </c>
      <c r="K13">
        <v>94</v>
      </c>
      <c r="L13">
        <v>108</v>
      </c>
      <c r="M13">
        <v>94</v>
      </c>
      <c r="N13">
        <v>108</v>
      </c>
    </row>
    <row r="14" spans="1:18">
      <c r="A14">
        <v>23</v>
      </c>
      <c r="B14" s="68">
        <v>43434</v>
      </c>
      <c r="C14" t="s">
        <v>243</v>
      </c>
      <c r="D14" t="s">
        <v>241</v>
      </c>
      <c r="E14">
        <v>26</v>
      </c>
      <c r="F14">
        <v>28</v>
      </c>
      <c r="G14">
        <v>46</v>
      </c>
      <c r="H14">
        <v>66</v>
      </c>
      <c r="I14">
        <v>76</v>
      </c>
      <c r="J14">
        <v>91</v>
      </c>
      <c r="K14">
        <v>109</v>
      </c>
      <c r="L14">
        <v>124</v>
      </c>
      <c r="M14">
        <v>109</v>
      </c>
      <c r="N14">
        <v>124</v>
      </c>
    </row>
    <row r="15" spans="1:18">
      <c r="A15">
        <v>27</v>
      </c>
      <c r="B15" s="68">
        <v>43446</v>
      </c>
      <c r="C15" t="s">
        <v>243</v>
      </c>
      <c r="D15" t="s">
        <v>265</v>
      </c>
      <c r="E15">
        <v>26</v>
      </c>
      <c r="F15">
        <v>28</v>
      </c>
      <c r="G15">
        <v>52</v>
      </c>
      <c r="H15">
        <v>51</v>
      </c>
      <c r="I15">
        <v>78</v>
      </c>
      <c r="J15">
        <v>81</v>
      </c>
      <c r="K15">
        <v>107</v>
      </c>
      <c r="L15">
        <v>114</v>
      </c>
      <c r="M15">
        <v>107</v>
      </c>
      <c r="N15">
        <v>114</v>
      </c>
    </row>
    <row r="16" spans="1:18">
      <c r="A16">
        <v>28</v>
      </c>
      <c r="B16" s="68">
        <v>43448</v>
      </c>
      <c r="C16" t="s">
        <v>243</v>
      </c>
      <c r="D16" t="s">
        <v>240</v>
      </c>
      <c r="E16">
        <v>19</v>
      </c>
      <c r="F16">
        <v>42</v>
      </c>
      <c r="G16">
        <v>56</v>
      </c>
      <c r="H16">
        <v>67</v>
      </c>
      <c r="I16">
        <v>82</v>
      </c>
      <c r="J16">
        <v>108</v>
      </c>
      <c r="K16">
        <v>108</v>
      </c>
      <c r="L16">
        <v>129</v>
      </c>
      <c r="M16">
        <v>108</v>
      </c>
      <c r="N16">
        <v>129</v>
      </c>
    </row>
    <row r="17" spans="1:16">
      <c r="A17">
        <v>29</v>
      </c>
      <c r="B17" s="68">
        <v>43450</v>
      </c>
      <c r="C17" t="s">
        <v>243</v>
      </c>
      <c r="D17" t="s">
        <v>247</v>
      </c>
      <c r="E17">
        <v>23</v>
      </c>
      <c r="F17">
        <v>42</v>
      </c>
      <c r="G17">
        <v>66</v>
      </c>
      <c r="H17">
        <v>72</v>
      </c>
      <c r="I17">
        <v>96</v>
      </c>
      <c r="J17">
        <v>111</v>
      </c>
      <c r="K17">
        <v>127</v>
      </c>
      <c r="L17">
        <v>144</v>
      </c>
      <c r="M17">
        <v>127</v>
      </c>
      <c r="N17">
        <v>144</v>
      </c>
    </row>
    <row r="18" spans="1:16">
      <c r="A18">
        <v>31</v>
      </c>
      <c r="B18" s="68">
        <v>43455</v>
      </c>
      <c r="C18" t="s">
        <v>243</v>
      </c>
      <c r="D18" t="s">
        <v>254</v>
      </c>
      <c r="E18">
        <v>28</v>
      </c>
      <c r="F18">
        <v>39</v>
      </c>
      <c r="G18">
        <v>60</v>
      </c>
      <c r="H18">
        <v>69</v>
      </c>
      <c r="I18">
        <v>87</v>
      </c>
      <c r="J18">
        <v>89</v>
      </c>
      <c r="K18">
        <v>114</v>
      </c>
      <c r="L18">
        <v>107</v>
      </c>
      <c r="M18">
        <v>114</v>
      </c>
      <c r="N18">
        <v>107</v>
      </c>
    </row>
    <row r="19" spans="1:16">
      <c r="A19">
        <v>32</v>
      </c>
      <c r="B19" s="68">
        <v>43457</v>
      </c>
      <c r="C19" t="s">
        <v>243</v>
      </c>
      <c r="D19" t="s">
        <v>248</v>
      </c>
      <c r="E19">
        <v>28</v>
      </c>
      <c r="F19">
        <v>21</v>
      </c>
      <c r="G19">
        <v>57</v>
      </c>
      <c r="H19">
        <v>43</v>
      </c>
      <c r="I19">
        <v>79</v>
      </c>
      <c r="J19">
        <v>66</v>
      </c>
      <c r="K19">
        <v>98</v>
      </c>
      <c r="L19">
        <v>95</v>
      </c>
      <c r="M19">
        <v>98</v>
      </c>
      <c r="N19">
        <v>95</v>
      </c>
    </row>
    <row r="20" spans="1:16">
      <c r="A20">
        <v>34</v>
      </c>
      <c r="B20" s="68">
        <v>43462</v>
      </c>
      <c r="C20" t="s">
        <v>243</v>
      </c>
      <c r="D20" t="s">
        <v>259</v>
      </c>
      <c r="E20">
        <v>42</v>
      </c>
      <c r="F20">
        <v>27</v>
      </c>
      <c r="G20">
        <v>71</v>
      </c>
      <c r="H20">
        <v>59</v>
      </c>
      <c r="I20">
        <v>89</v>
      </c>
      <c r="J20">
        <v>89</v>
      </c>
      <c r="K20">
        <v>112</v>
      </c>
      <c r="L20">
        <v>112</v>
      </c>
      <c r="M20">
        <v>123</v>
      </c>
      <c r="N20">
        <v>120</v>
      </c>
      <c r="O20">
        <v>123</v>
      </c>
      <c r="P20">
        <v>120</v>
      </c>
    </row>
    <row r="21" spans="1:16">
      <c r="A21">
        <v>36</v>
      </c>
      <c r="B21" s="68">
        <v>43465</v>
      </c>
      <c r="C21" t="s">
        <v>243</v>
      </c>
      <c r="D21" t="s">
        <v>250</v>
      </c>
      <c r="E21">
        <v>25</v>
      </c>
      <c r="F21">
        <v>33</v>
      </c>
      <c r="G21">
        <v>60</v>
      </c>
      <c r="H21">
        <v>63</v>
      </c>
      <c r="I21">
        <v>81</v>
      </c>
      <c r="J21">
        <v>97</v>
      </c>
      <c r="K21">
        <v>108</v>
      </c>
      <c r="L21">
        <v>116</v>
      </c>
      <c r="M21">
        <v>108</v>
      </c>
      <c r="N21">
        <v>116</v>
      </c>
    </row>
    <row r="22" spans="1:16">
      <c r="A22">
        <v>37</v>
      </c>
      <c r="B22" s="68">
        <v>43467</v>
      </c>
      <c r="C22" t="s">
        <v>243</v>
      </c>
      <c r="D22" t="s">
        <v>268</v>
      </c>
      <c r="E22">
        <v>29</v>
      </c>
      <c r="F22">
        <v>35</v>
      </c>
      <c r="G22">
        <v>53</v>
      </c>
      <c r="H22">
        <v>64</v>
      </c>
      <c r="I22">
        <v>84</v>
      </c>
      <c r="J22">
        <v>88</v>
      </c>
      <c r="K22">
        <v>98</v>
      </c>
      <c r="L22">
        <v>114</v>
      </c>
      <c r="M22">
        <v>98</v>
      </c>
      <c r="N22">
        <v>114</v>
      </c>
    </row>
    <row r="23" spans="1:16">
      <c r="A23">
        <v>4</v>
      </c>
      <c r="B23" s="68">
        <v>43397</v>
      </c>
      <c r="C23" t="s">
        <v>244</v>
      </c>
      <c r="D23" t="s">
        <v>265</v>
      </c>
      <c r="E23">
        <v>22</v>
      </c>
      <c r="F23">
        <v>42</v>
      </c>
      <c r="G23">
        <v>48</v>
      </c>
      <c r="H23">
        <v>58</v>
      </c>
      <c r="I23">
        <v>80</v>
      </c>
      <c r="J23">
        <v>87</v>
      </c>
      <c r="K23">
        <v>111</v>
      </c>
      <c r="L23">
        <v>104</v>
      </c>
      <c r="M23">
        <v>111</v>
      </c>
      <c r="N23">
        <v>104</v>
      </c>
    </row>
    <row r="24" spans="1:16">
      <c r="A24">
        <v>5</v>
      </c>
      <c r="B24" s="68">
        <v>43400</v>
      </c>
      <c r="C24" t="s">
        <v>244</v>
      </c>
      <c r="D24" t="s">
        <v>267</v>
      </c>
      <c r="E24">
        <v>25</v>
      </c>
      <c r="F24">
        <v>22</v>
      </c>
      <c r="G24">
        <v>44</v>
      </c>
      <c r="H24">
        <v>41</v>
      </c>
      <c r="I24">
        <v>63</v>
      </c>
      <c r="J24">
        <v>67</v>
      </c>
      <c r="K24">
        <v>85</v>
      </c>
      <c r="L24">
        <v>97</v>
      </c>
      <c r="M24">
        <v>85</v>
      </c>
      <c r="N24">
        <v>97</v>
      </c>
    </row>
    <row r="25" spans="1:16">
      <c r="A25">
        <v>8</v>
      </c>
      <c r="B25" s="68">
        <v>43405</v>
      </c>
      <c r="C25" t="s">
        <v>244</v>
      </c>
      <c r="D25" t="s">
        <v>262</v>
      </c>
      <c r="E25">
        <v>29</v>
      </c>
      <c r="F25">
        <v>35</v>
      </c>
      <c r="G25">
        <v>64</v>
      </c>
      <c r="H25">
        <v>69</v>
      </c>
      <c r="I25">
        <v>87</v>
      </c>
      <c r="J25">
        <v>115</v>
      </c>
      <c r="K25">
        <v>115</v>
      </c>
      <c r="L25">
        <v>146</v>
      </c>
      <c r="M25">
        <v>115</v>
      </c>
      <c r="N25">
        <v>146</v>
      </c>
    </row>
    <row r="26" spans="1:16">
      <c r="A26">
        <v>9</v>
      </c>
      <c r="B26" s="68">
        <v>43407</v>
      </c>
      <c r="C26" t="s">
        <v>244</v>
      </c>
      <c r="D26" t="s">
        <v>251</v>
      </c>
      <c r="E26">
        <v>41</v>
      </c>
      <c r="F26">
        <v>31</v>
      </c>
      <c r="G26">
        <v>74</v>
      </c>
      <c r="H26">
        <v>68</v>
      </c>
      <c r="I26">
        <v>102</v>
      </c>
      <c r="J26">
        <v>93</v>
      </c>
      <c r="K26">
        <v>123</v>
      </c>
      <c r="L26">
        <v>118</v>
      </c>
      <c r="M26">
        <v>123</v>
      </c>
      <c r="N26">
        <v>118</v>
      </c>
    </row>
    <row r="27" spans="1:16">
      <c r="A27">
        <v>11</v>
      </c>
      <c r="B27" s="68">
        <v>43411</v>
      </c>
      <c r="C27" t="s">
        <v>244</v>
      </c>
      <c r="D27" t="s">
        <v>254</v>
      </c>
      <c r="E27">
        <v>26</v>
      </c>
      <c r="F27">
        <v>26</v>
      </c>
      <c r="G27">
        <v>55</v>
      </c>
      <c r="H27">
        <v>52</v>
      </c>
      <c r="I27">
        <v>73</v>
      </c>
      <c r="J27">
        <v>87</v>
      </c>
      <c r="K27">
        <v>107</v>
      </c>
      <c r="L27">
        <v>112</v>
      </c>
      <c r="M27">
        <v>107</v>
      </c>
      <c r="N27">
        <v>112</v>
      </c>
    </row>
    <row r="28" spans="1:16">
      <c r="A28">
        <v>12</v>
      </c>
      <c r="B28" s="68">
        <v>43413</v>
      </c>
      <c r="C28" t="s">
        <v>244</v>
      </c>
      <c r="D28" t="s">
        <v>248</v>
      </c>
      <c r="E28">
        <v>20</v>
      </c>
      <c r="F28">
        <v>40</v>
      </c>
      <c r="G28">
        <v>51</v>
      </c>
      <c r="H28">
        <v>74</v>
      </c>
      <c r="I28">
        <v>77</v>
      </c>
      <c r="J28">
        <v>103</v>
      </c>
      <c r="K28">
        <v>109</v>
      </c>
      <c r="L28">
        <v>124</v>
      </c>
      <c r="M28">
        <v>109</v>
      </c>
      <c r="N28">
        <v>124</v>
      </c>
    </row>
    <row r="29" spans="1:16">
      <c r="A29">
        <v>17</v>
      </c>
      <c r="B29" s="68">
        <v>43423</v>
      </c>
      <c r="C29" t="s">
        <v>244</v>
      </c>
      <c r="D29" t="s">
        <v>264</v>
      </c>
      <c r="E29">
        <v>34</v>
      </c>
      <c r="F29">
        <v>29</v>
      </c>
      <c r="G29">
        <v>64</v>
      </c>
      <c r="H29">
        <v>61</v>
      </c>
      <c r="I29">
        <v>96</v>
      </c>
      <c r="J29">
        <v>89</v>
      </c>
      <c r="K29">
        <v>119</v>
      </c>
      <c r="L29">
        <v>127</v>
      </c>
      <c r="M29">
        <v>119</v>
      </c>
      <c r="N29">
        <v>127</v>
      </c>
    </row>
    <row r="30" spans="1:16">
      <c r="A30">
        <v>18</v>
      </c>
      <c r="B30" s="68">
        <v>43425</v>
      </c>
      <c r="C30" t="s">
        <v>244</v>
      </c>
      <c r="D30" t="s">
        <v>256</v>
      </c>
      <c r="E30">
        <v>24</v>
      </c>
      <c r="F30">
        <v>29</v>
      </c>
      <c r="G30">
        <v>44</v>
      </c>
      <c r="H30">
        <v>55</v>
      </c>
      <c r="I30">
        <v>73</v>
      </c>
      <c r="J30">
        <v>86</v>
      </c>
      <c r="K30">
        <v>108</v>
      </c>
      <c r="L30">
        <v>124</v>
      </c>
      <c r="M30">
        <v>108</v>
      </c>
      <c r="N30">
        <v>124</v>
      </c>
    </row>
    <row r="31" spans="1:16">
      <c r="A31">
        <v>19</v>
      </c>
      <c r="B31" s="68">
        <v>43427</v>
      </c>
      <c r="C31" t="s">
        <v>244</v>
      </c>
      <c r="D31" t="s">
        <v>240</v>
      </c>
      <c r="E31">
        <v>23</v>
      </c>
      <c r="F31">
        <v>45</v>
      </c>
      <c r="G31">
        <v>45</v>
      </c>
      <c r="H31">
        <v>61</v>
      </c>
      <c r="I31">
        <v>64</v>
      </c>
      <c r="J31">
        <v>82</v>
      </c>
      <c r="K31">
        <v>96</v>
      </c>
      <c r="L31">
        <v>114</v>
      </c>
      <c r="M31">
        <v>96</v>
      </c>
      <c r="N31">
        <v>114</v>
      </c>
    </row>
    <row r="32" spans="1:16">
      <c r="A32">
        <v>20</v>
      </c>
      <c r="B32" s="68">
        <v>43429</v>
      </c>
      <c r="C32" t="s">
        <v>244</v>
      </c>
      <c r="D32" t="s">
        <v>246</v>
      </c>
      <c r="E32">
        <v>32</v>
      </c>
      <c r="F32">
        <v>43</v>
      </c>
      <c r="G32">
        <v>65</v>
      </c>
      <c r="H32">
        <v>66</v>
      </c>
      <c r="I32">
        <v>100</v>
      </c>
      <c r="J32">
        <v>97</v>
      </c>
      <c r="K32">
        <v>124</v>
      </c>
      <c r="L32">
        <v>123</v>
      </c>
      <c r="M32">
        <v>124</v>
      </c>
      <c r="N32">
        <v>123</v>
      </c>
    </row>
    <row r="33" spans="1:14">
      <c r="A33">
        <v>24</v>
      </c>
      <c r="B33" s="68">
        <v>43437</v>
      </c>
      <c r="C33" t="s">
        <v>244</v>
      </c>
      <c r="D33" t="s">
        <v>242</v>
      </c>
      <c r="E33">
        <v>17</v>
      </c>
      <c r="F33">
        <v>34</v>
      </c>
      <c r="G33">
        <v>47</v>
      </c>
      <c r="H33">
        <v>61</v>
      </c>
      <c r="I33">
        <v>77</v>
      </c>
      <c r="J33">
        <v>97</v>
      </c>
      <c r="K33">
        <v>111</v>
      </c>
      <c r="L33">
        <v>128</v>
      </c>
      <c r="M33">
        <v>111</v>
      </c>
      <c r="N33">
        <v>128</v>
      </c>
    </row>
    <row r="34" spans="1:14">
      <c r="A34">
        <v>25</v>
      </c>
      <c r="B34" s="68">
        <v>43439</v>
      </c>
      <c r="C34" t="s">
        <v>244</v>
      </c>
      <c r="D34" t="s">
        <v>268</v>
      </c>
      <c r="E34">
        <v>25</v>
      </c>
      <c r="F34">
        <v>33</v>
      </c>
      <c r="G34">
        <v>49</v>
      </c>
      <c r="H34">
        <v>72</v>
      </c>
      <c r="I34">
        <v>94</v>
      </c>
      <c r="J34">
        <v>103</v>
      </c>
      <c r="K34">
        <v>117</v>
      </c>
      <c r="L34">
        <v>131</v>
      </c>
      <c r="M34">
        <v>117</v>
      </c>
      <c r="N34">
        <v>131</v>
      </c>
    </row>
    <row r="35" spans="1:14">
      <c r="A35">
        <v>26</v>
      </c>
      <c r="B35" s="68">
        <v>43442</v>
      </c>
      <c r="C35" t="s">
        <v>244</v>
      </c>
      <c r="D35" t="s">
        <v>263</v>
      </c>
      <c r="E35">
        <v>25</v>
      </c>
      <c r="F35">
        <v>35</v>
      </c>
      <c r="G35">
        <v>51</v>
      </c>
      <c r="H35">
        <v>56</v>
      </c>
      <c r="I35">
        <v>86</v>
      </c>
      <c r="J35">
        <v>77</v>
      </c>
      <c r="K35">
        <v>106</v>
      </c>
      <c r="L35">
        <v>98</v>
      </c>
      <c r="M35">
        <v>106</v>
      </c>
      <c r="N35">
        <v>98</v>
      </c>
    </row>
    <row r="36" spans="1:14">
      <c r="A36">
        <v>30</v>
      </c>
      <c r="B36" s="68">
        <v>43452</v>
      </c>
      <c r="C36" t="s">
        <v>244</v>
      </c>
      <c r="D36" t="s">
        <v>268</v>
      </c>
      <c r="E36">
        <v>35</v>
      </c>
      <c r="F36">
        <v>24</v>
      </c>
      <c r="G36">
        <v>58</v>
      </c>
      <c r="H36">
        <v>54</v>
      </c>
      <c r="I36">
        <v>82</v>
      </c>
      <c r="J36">
        <v>82</v>
      </c>
      <c r="K36">
        <v>118</v>
      </c>
      <c r="L36">
        <v>110</v>
      </c>
      <c r="M36">
        <v>118</v>
      </c>
      <c r="N36">
        <v>110</v>
      </c>
    </row>
    <row r="37" spans="1:14">
      <c r="A37">
        <v>33</v>
      </c>
      <c r="B37" s="68">
        <v>43460</v>
      </c>
      <c r="C37" t="s">
        <v>244</v>
      </c>
      <c r="D37" t="s">
        <v>250</v>
      </c>
      <c r="E37">
        <v>31</v>
      </c>
      <c r="F37">
        <v>32</v>
      </c>
      <c r="G37">
        <v>67</v>
      </c>
      <c r="H37">
        <v>64</v>
      </c>
      <c r="I37">
        <v>88</v>
      </c>
      <c r="J37">
        <v>95</v>
      </c>
      <c r="K37">
        <v>121</v>
      </c>
      <c r="L37">
        <v>129</v>
      </c>
      <c r="M37">
        <v>121</v>
      </c>
      <c r="N37">
        <v>129</v>
      </c>
    </row>
    <row r="38" spans="1:14">
      <c r="A38">
        <v>35</v>
      </c>
      <c r="B38" s="68">
        <v>43463</v>
      </c>
      <c r="C38" t="s">
        <v>244</v>
      </c>
      <c r="D38" t="s">
        <v>255</v>
      </c>
      <c r="E38">
        <v>23</v>
      </c>
      <c r="F38">
        <v>26</v>
      </c>
      <c r="G38">
        <v>57</v>
      </c>
      <c r="H38">
        <v>51</v>
      </c>
      <c r="I38">
        <v>84</v>
      </c>
      <c r="J38">
        <v>74</v>
      </c>
      <c r="K38">
        <v>111</v>
      </c>
      <c r="L38">
        <v>108</v>
      </c>
      <c r="M38">
        <v>111</v>
      </c>
      <c r="N38">
        <v>108</v>
      </c>
    </row>
  </sheetData>
  <sortState xmlns:xlrd2="http://schemas.microsoft.com/office/spreadsheetml/2017/richdata2" ref="A2:R64">
    <sortCondition ref="C1"/>
  </sortState>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R37"/>
  <sheetViews>
    <sheetView workbookViewId="0"/>
  </sheetViews>
  <sheetFormatPr defaultRowHeight="14.5"/>
  <cols>
    <col min="1" max="1" width="2.6328125" bestFit="1" customWidth="1"/>
    <col min="2" max="2" width="10.08984375" bestFit="1" customWidth="1"/>
    <col min="3" max="3" width="14.90625" bestFit="1" customWidth="1"/>
    <col min="4" max="4" width="9.26953125" bestFit="1" customWidth="1"/>
    <col min="5" max="5" width="23.36328125" bestFit="1" customWidth="1"/>
    <col min="6" max="6" width="27.26953125" bestFit="1" customWidth="1"/>
    <col min="7" max="7" width="15.453125" bestFit="1" customWidth="1"/>
    <col min="8" max="8" width="19.36328125" bestFit="1" customWidth="1"/>
    <col min="9" max="9" width="24.1796875" bestFit="1" customWidth="1"/>
    <col min="10" max="10" width="28.08984375" bestFit="1" customWidth="1"/>
    <col min="11" max="11" width="25.453125" bestFit="1" customWidth="1"/>
    <col min="12" max="12" width="29.36328125" bestFit="1" customWidth="1"/>
    <col min="13" max="13" width="16" bestFit="1" customWidth="1"/>
    <col min="14" max="15" width="19.90625" bestFit="1" customWidth="1"/>
    <col min="16" max="16" width="23.81640625" bestFit="1" customWidth="1"/>
    <col min="17" max="17" width="18.7265625" bestFit="1" customWidth="1"/>
    <col min="18" max="18" width="22.6328125" bestFit="1" customWidth="1"/>
    <col min="19" max="19" width="25.36328125" customWidth="1"/>
    <col min="20" max="20" width="19.7265625" customWidth="1"/>
    <col min="21" max="21" width="24.36328125" customWidth="1"/>
    <col min="22" max="22" width="18.26953125" customWidth="1"/>
    <col min="23" max="23" width="22.54296875" customWidth="1"/>
    <col min="24" max="24" width="22.7265625" customWidth="1"/>
    <col min="25" max="25" width="26.1796875" customWidth="1"/>
    <col min="26" max="26" width="25.08984375" customWidth="1"/>
    <col min="27" max="27" width="25.1796875" customWidth="1"/>
  </cols>
  <sheetData>
    <row r="1" spans="1:18">
      <c r="A1" t="s">
        <v>116</v>
      </c>
      <c r="B1" t="s">
        <v>117</v>
      </c>
      <c r="C1" t="s">
        <v>134</v>
      </c>
      <c r="D1" t="s">
        <v>118</v>
      </c>
      <c r="E1" t="s">
        <v>119</v>
      </c>
      <c r="F1" t="s">
        <v>120</v>
      </c>
      <c r="G1" t="s">
        <v>121</v>
      </c>
      <c r="H1" t="s">
        <v>122</v>
      </c>
      <c r="I1" t="s">
        <v>123</v>
      </c>
      <c r="J1" t="s">
        <v>124</v>
      </c>
      <c r="K1" t="s">
        <v>130</v>
      </c>
      <c r="L1" t="s">
        <v>131</v>
      </c>
      <c r="M1" t="s">
        <v>125</v>
      </c>
      <c r="N1" t="s">
        <v>126</v>
      </c>
      <c r="O1" t="s">
        <v>132</v>
      </c>
      <c r="P1" t="s">
        <v>133</v>
      </c>
      <c r="Q1" t="s">
        <v>139</v>
      </c>
      <c r="R1" t="s">
        <v>140</v>
      </c>
    </row>
    <row r="2" spans="1:18">
      <c r="A2">
        <v>1</v>
      </c>
      <c r="B2" s="68">
        <v>43390</v>
      </c>
      <c r="C2" t="s">
        <v>243</v>
      </c>
      <c r="D2" t="s">
        <v>246</v>
      </c>
      <c r="E2">
        <v>36</v>
      </c>
      <c r="F2">
        <v>23</v>
      </c>
      <c r="G2">
        <v>67</v>
      </c>
      <c r="H2">
        <v>54</v>
      </c>
      <c r="I2">
        <v>93</v>
      </c>
      <c r="J2">
        <v>83</v>
      </c>
      <c r="K2">
        <v>113</v>
      </c>
      <c r="L2">
        <v>112</v>
      </c>
      <c r="M2">
        <v>113</v>
      </c>
      <c r="N2">
        <v>112</v>
      </c>
    </row>
    <row r="3" spans="1:18">
      <c r="A3">
        <v>5</v>
      </c>
      <c r="B3" s="68">
        <v>43399</v>
      </c>
      <c r="C3" t="s">
        <v>243</v>
      </c>
      <c r="D3" t="s">
        <v>259</v>
      </c>
      <c r="E3">
        <v>27</v>
      </c>
      <c r="F3">
        <v>16</v>
      </c>
      <c r="G3">
        <v>63</v>
      </c>
      <c r="H3">
        <v>38</v>
      </c>
      <c r="I3">
        <v>97</v>
      </c>
      <c r="J3">
        <v>67</v>
      </c>
      <c r="K3">
        <v>125</v>
      </c>
      <c r="L3">
        <v>95</v>
      </c>
      <c r="M3">
        <v>125</v>
      </c>
      <c r="N3">
        <v>95</v>
      </c>
    </row>
    <row r="4" spans="1:18">
      <c r="A4">
        <v>8</v>
      </c>
      <c r="B4" s="68">
        <v>43405</v>
      </c>
      <c r="C4" t="s">
        <v>243</v>
      </c>
      <c r="D4" t="s">
        <v>240</v>
      </c>
      <c r="E4">
        <v>16</v>
      </c>
      <c r="F4">
        <v>23</v>
      </c>
      <c r="G4">
        <v>53</v>
      </c>
      <c r="H4">
        <v>55</v>
      </c>
      <c r="I4">
        <v>78</v>
      </c>
      <c r="J4">
        <v>93</v>
      </c>
      <c r="K4">
        <v>113</v>
      </c>
      <c r="L4">
        <v>117</v>
      </c>
      <c r="M4">
        <v>113</v>
      </c>
      <c r="N4">
        <v>117</v>
      </c>
    </row>
    <row r="5" spans="1:18">
      <c r="A5">
        <v>10</v>
      </c>
      <c r="B5" s="68">
        <v>43410</v>
      </c>
      <c r="C5" t="s">
        <v>243</v>
      </c>
      <c r="D5" t="s">
        <v>270</v>
      </c>
      <c r="E5">
        <v>31</v>
      </c>
      <c r="F5">
        <v>33</v>
      </c>
      <c r="G5">
        <v>51</v>
      </c>
      <c r="H5">
        <v>57</v>
      </c>
      <c r="I5">
        <v>77</v>
      </c>
      <c r="J5">
        <v>91</v>
      </c>
      <c r="K5">
        <v>103</v>
      </c>
      <c r="L5">
        <v>118</v>
      </c>
      <c r="M5">
        <v>103</v>
      </c>
      <c r="N5">
        <v>118</v>
      </c>
    </row>
    <row r="6" spans="1:18">
      <c r="A6">
        <v>11</v>
      </c>
      <c r="B6" s="68">
        <v>43412</v>
      </c>
      <c r="C6" t="s">
        <v>243</v>
      </c>
      <c r="D6" t="s">
        <v>242</v>
      </c>
      <c r="E6">
        <v>32</v>
      </c>
      <c r="F6">
        <v>29</v>
      </c>
      <c r="G6">
        <v>64</v>
      </c>
      <c r="H6">
        <v>51</v>
      </c>
      <c r="I6">
        <v>105</v>
      </c>
      <c r="J6">
        <v>79</v>
      </c>
      <c r="K6">
        <v>134</v>
      </c>
      <c r="L6">
        <v>111</v>
      </c>
      <c r="M6">
        <v>134</v>
      </c>
      <c r="N6">
        <v>111</v>
      </c>
    </row>
    <row r="7" spans="1:18">
      <c r="A7">
        <v>12</v>
      </c>
      <c r="B7" s="68">
        <v>43414</v>
      </c>
      <c r="C7" t="s">
        <v>243</v>
      </c>
      <c r="D7" t="s">
        <v>264</v>
      </c>
      <c r="E7">
        <v>24</v>
      </c>
      <c r="F7">
        <v>33</v>
      </c>
      <c r="G7">
        <v>64</v>
      </c>
      <c r="H7">
        <v>62</v>
      </c>
      <c r="I7">
        <v>84</v>
      </c>
      <c r="J7">
        <v>89</v>
      </c>
      <c r="K7">
        <v>119</v>
      </c>
      <c r="L7">
        <v>119</v>
      </c>
      <c r="M7">
        <v>126</v>
      </c>
      <c r="N7">
        <v>128</v>
      </c>
      <c r="O7">
        <v>126</v>
      </c>
      <c r="P7">
        <v>128</v>
      </c>
    </row>
    <row r="8" spans="1:18">
      <c r="A8">
        <v>13</v>
      </c>
      <c r="B8" s="68">
        <v>43415</v>
      </c>
      <c r="C8" t="s">
        <v>243</v>
      </c>
      <c r="D8" t="s">
        <v>263</v>
      </c>
      <c r="E8">
        <v>33</v>
      </c>
      <c r="F8">
        <v>35</v>
      </c>
      <c r="G8">
        <v>63</v>
      </c>
      <c r="H8">
        <v>59</v>
      </c>
      <c r="I8">
        <v>99</v>
      </c>
      <c r="J8">
        <v>88</v>
      </c>
      <c r="K8">
        <v>121</v>
      </c>
      <c r="L8">
        <v>114</v>
      </c>
      <c r="M8">
        <v>121</v>
      </c>
      <c r="N8">
        <v>114</v>
      </c>
    </row>
    <row r="9" spans="1:18">
      <c r="A9">
        <v>20</v>
      </c>
      <c r="B9" s="68">
        <v>43430</v>
      </c>
      <c r="C9" t="s">
        <v>243</v>
      </c>
      <c r="D9" t="s">
        <v>246</v>
      </c>
      <c r="E9">
        <v>35</v>
      </c>
      <c r="F9">
        <v>32</v>
      </c>
      <c r="G9">
        <v>52</v>
      </c>
      <c r="H9">
        <v>65</v>
      </c>
      <c r="I9">
        <v>80</v>
      </c>
      <c r="J9">
        <v>93</v>
      </c>
      <c r="K9">
        <v>107</v>
      </c>
      <c r="L9">
        <v>110</v>
      </c>
      <c r="M9">
        <v>107</v>
      </c>
      <c r="N9">
        <v>110</v>
      </c>
    </row>
    <row r="10" spans="1:18">
      <c r="A10">
        <v>22</v>
      </c>
      <c r="B10" s="68">
        <v>43435</v>
      </c>
      <c r="C10" t="s">
        <v>243</v>
      </c>
      <c r="D10" t="s">
        <v>254</v>
      </c>
      <c r="E10">
        <v>35</v>
      </c>
      <c r="F10">
        <v>28</v>
      </c>
      <c r="G10">
        <v>66</v>
      </c>
      <c r="H10">
        <v>61</v>
      </c>
      <c r="I10">
        <v>97</v>
      </c>
      <c r="J10">
        <v>93</v>
      </c>
      <c r="K10">
        <v>124</v>
      </c>
      <c r="L10">
        <v>124</v>
      </c>
      <c r="M10">
        <v>134</v>
      </c>
      <c r="N10">
        <v>136</v>
      </c>
      <c r="O10">
        <v>134</v>
      </c>
      <c r="P10">
        <v>136</v>
      </c>
    </row>
    <row r="11" spans="1:18">
      <c r="A11">
        <v>25</v>
      </c>
      <c r="B11" s="68">
        <v>43443</v>
      </c>
      <c r="C11" t="s">
        <v>243</v>
      </c>
      <c r="D11" t="s">
        <v>256</v>
      </c>
      <c r="E11">
        <v>25</v>
      </c>
      <c r="F11">
        <v>30</v>
      </c>
      <c r="G11">
        <v>51</v>
      </c>
      <c r="H11">
        <v>49</v>
      </c>
      <c r="I11">
        <v>79</v>
      </c>
      <c r="J11">
        <v>74</v>
      </c>
      <c r="K11">
        <v>104</v>
      </c>
      <c r="L11">
        <v>99</v>
      </c>
      <c r="M11">
        <v>104</v>
      </c>
      <c r="N11">
        <v>99</v>
      </c>
    </row>
    <row r="12" spans="1:18">
      <c r="A12">
        <v>27</v>
      </c>
      <c r="B12" s="68">
        <v>43446</v>
      </c>
      <c r="C12" t="s">
        <v>243</v>
      </c>
      <c r="D12" t="s">
        <v>250</v>
      </c>
      <c r="E12">
        <v>23</v>
      </c>
      <c r="F12">
        <v>29</v>
      </c>
      <c r="G12">
        <v>43</v>
      </c>
      <c r="H12">
        <v>58</v>
      </c>
      <c r="I12">
        <v>70</v>
      </c>
      <c r="J12">
        <v>85</v>
      </c>
      <c r="K12">
        <v>97</v>
      </c>
      <c r="L12">
        <v>113</v>
      </c>
      <c r="M12">
        <v>97</v>
      </c>
      <c r="N12">
        <v>113</v>
      </c>
    </row>
    <row r="13" spans="1:18">
      <c r="A13">
        <v>28</v>
      </c>
      <c r="B13" s="68">
        <v>43448</v>
      </c>
      <c r="C13" t="s">
        <v>243</v>
      </c>
      <c r="D13" t="s">
        <v>255</v>
      </c>
      <c r="E13">
        <v>27</v>
      </c>
      <c r="F13">
        <v>16</v>
      </c>
      <c r="G13">
        <v>61</v>
      </c>
      <c r="H13">
        <v>47</v>
      </c>
      <c r="I13">
        <v>91</v>
      </c>
      <c r="J13">
        <v>77</v>
      </c>
      <c r="K13">
        <v>114</v>
      </c>
      <c r="L13">
        <v>102</v>
      </c>
      <c r="M13">
        <v>114</v>
      </c>
      <c r="N13">
        <v>102</v>
      </c>
    </row>
    <row r="14" spans="1:18">
      <c r="A14">
        <v>29</v>
      </c>
      <c r="B14" s="68">
        <v>43451</v>
      </c>
      <c r="C14" t="s">
        <v>243</v>
      </c>
      <c r="D14" t="s">
        <v>248</v>
      </c>
      <c r="E14">
        <v>25</v>
      </c>
      <c r="F14">
        <v>27</v>
      </c>
      <c r="G14">
        <v>55</v>
      </c>
      <c r="H14">
        <v>43</v>
      </c>
      <c r="I14">
        <v>81</v>
      </c>
      <c r="J14">
        <v>77</v>
      </c>
      <c r="K14">
        <v>107</v>
      </c>
      <c r="L14">
        <v>104</v>
      </c>
      <c r="M14">
        <v>107</v>
      </c>
      <c r="N14">
        <v>104</v>
      </c>
    </row>
    <row r="15" spans="1:18">
      <c r="A15">
        <v>31</v>
      </c>
      <c r="B15" s="68">
        <v>43455</v>
      </c>
      <c r="C15" t="s">
        <v>243</v>
      </c>
      <c r="D15" t="s">
        <v>240</v>
      </c>
      <c r="E15">
        <v>35</v>
      </c>
      <c r="F15">
        <v>22</v>
      </c>
      <c r="G15">
        <v>65</v>
      </c>
      <c r="H15">
        <v>48</v>
      </c>
      <c r="I15">
        <v>93</v>
      </c>
      <c r="J15">
        <v>78</v>
      </c>
      <c r="K15">
        <v>120</v>
      </c>
      <c r="L15">
        <v>107</v>
      </c>
      <c r="M15">
        <v>120</v>
      </c>
      <c r="N15">
        <v>107</v>
      </c>
    </row>
    <row r="16" spans="1:18">
      <c r="A16">
        <v>32</v>
      </c>
      <c r="B16" s="68">
        <v>43456</v>
      </c>
      <c r="C16" t="s">
        <v>243</v>
      </c>
      <c r="D16" t="s">
        <v>251</v>
      </c>
      <c r="E16">
        <v>8</v>
      </c>
      <c r="F16">
        <v>21</v>
      </c>
      <c r="G16">
        <v>38</v>
      </c>
      <c r="H16">
        <v>37</v>
      </c>
      <c r="I16">
        <v>58</v>
      </c>
      <c r="J16">
        <v>72</v>
      </c>
      <c r="K16">
        <v>87</v>
      </c>
      <c r="L16">
        <v>94</v>
      </c>
      <c r="M16">
        <v>87</v>
      </c>
      <c r="N16">
        <v>94</v>
      </c>
    </row>
    <row r="17" spans="1:14">
      <c r="A17">
        <v>33</v>
      </c>
      <c r="B17" s="68">
        <v>43459</v>
      </c>
      <c r="C17" t="s">
        <v>243</v>
      </c>
      <c r="D17" t="s">
        <v>254</v>
      </c>
      <c r="E17">
        <v>22</v>
      </c>
      <c r="F17">
        <v>24</v>
      </c>
      <c r="G17">
        <v>48</v>
      </c>
      <c r="H17">
        <v>46</v>
      </c>
      <c r="I17">
        <v>84</v>
      </c>
      <c r="J17">
        <v>68</v>
      </c>
      <c r="K17">
        <v>109</v>
      </c>
      <c r="L17">
        <v>95</v>
      </c>
      <c r="M17">
        <v>109</v>
      </c>
      <c r="N17">
        <v>95</v>
      </c>
    </row>
    <row r="18" spans="1:14">
      <c r="A18">
        <v>2</v>
      </c>
      <c r="B18" s="68">
        <v>43392</v>
      </c>
      <c r="C18" t="s">
        <v>244</v>
      </c>
      <c r="D18" t="s">
        <v>250</v>
      </c>
      <c r="E18">
        <v>30</v>
      </c>
      <c r="F18">
        <v>25</v>
      </c>
      <c r="G18">
        <v>62</v>
      </c>
      <c r="H18">
        <v>53</v>
      </c>
      <c r="I18">
        <v>93</v>
      </c>
      <c r="J18">
        <v>76</v>
      </c>
      <c r="K18">
        <v>118</v>
      </c>
      <c r="L18">
        <v>101</v>
      </c>
      <c r="M18">
        <v>118</v>
      </c>
      <c r="N18">
        <v>101</v>
      </c>
    </row>
    <row r="19" spans="1:14">
      <c r="A19">
        <v>3</v>
      </c>
      <c r="B19" s="68">
        <v>43395</v>
      </c>
      <c r="C19" t="s">
        <v>244</v>
      </c>
      <c r="D19" t="s">
        <v>254</v>
      </c>
      <c r="E19">
        <v>33</v>
      </c>
      <c r="F19">
        <v>29</v>
      </c>
      <c r="G19">
        <v>71</v>
      </c>
      <c r="H19">
        <v>52</v>
      </c>
      <c r="I19">
        <v>88</v>
      </c>
      <c r="J19">
        <v>87</v>
      </c>
      <c r="K19">
        <v>124</v>
      </c>
      <c r="L19">
        <v>113</v>
      </c>
      <c r="M19">
        <v>124</v>
      </c>
      <c r="N19">
        <v>113</v>
      </c>
    </row>
    <row r="20" spans="1:14">
      <c r="A20">
        <v>4</v>
      </c>
      <c r="B20" s="68">
        <v>43397</v>
      </c>
      <c r="C20" t="s">
        <v>244</v>
      </c>
      <c r="D20" t="s">
        <v>239</v>
      </c>
      <c r="E20">
        <v>22</v>
      </c>
      <c r="F20">
        <v>34</v>
      </c>
      <c r="G20">
        <v>71</v>
      </c>
      <c r="H20">
        <v>64</v>
      </c>
      <c r="I20">
        <v>92</v>
      </c>
      <c r="J20">
        <v>81</v>
      </c>
      <c r="K20">
        <v>123</v>
      </c>
      <c r="L20">
        <v>108</v>
      </c>
      <c r="M20">
        <v>123</v>
      </c>
      <c r="N20">
        <v>108</v>
      </c>
    </row>
    <row r="21" spans="1:14">
      <c r="A21">
        <v>6</v>
      </c>
      <c r="B21" s="68">
        <v>43400</v>
      </c>
      <c r="C21" t="s">
        <v>244</v>
      </c>
      <c r="D21" t="s">
        <v>252</v>
      </c>
      <c r="E21">
        <v>30</v>
      </c>
      <c r="F21">
        <v>25</v>
      </c>
      <c r="G21">
        <v>65</v>
      </c>
      <c r="H21">
        <v>51</v>
      </c>
      <c r="I21">
        <v>93</v>
      </c>
      <c r="J21">
        <v>68</v>
      </c>
      <c r="K21">
        <v>113</v>
      </c>
      <c r="L21">
        <v>91</v>
      </c>
      <c r="M21">
        <v>113</v>
      </c>
      <c r="N21">
        <v>91</v>
      </c>
    </row>
    <row r="22" spans="1:14">
      <c r="A22">
        <v>7</v>
      </c>
      <c r="B22" s="68">
        <v>43402</v>
      </c>
      <c r="C22" t="s">
        <v>244</v>
      </c>
      <c r="D22" t="s">
        <v>256</v>
      </c>
      <c r="E22">
        <v>30</v>
      </c>
      <c r="F22">
        <v>29</v>
      </c>
      <c r="G22">
        <v>62</v>
      </c>
      <c r="H22">
        <v>53</v>
      </c>
      <c r="I22">
        <v>95</v>
      </c>
      <c r="J22">
        <v>80</v>
      </c>
      <c r="K22">
        <v>124</v>
      </c>
      <c r="L22">
        <v>109</v>
      </c>
      <c r="M22">
        <v>124</v>
      </c>
      <c r="N22">
        <v>109</v>
      </c>
    </row>
    <row r="23" spans="1:14">
      <c r="A23">
        <v>9</v>
      </c>
      <c r="B23" s="68">
        <v>43408</v>
      </c>
      <c r="C23" t="s">
        <v>244</v>
      </c>
      <c r="D23" t="s">
        <v>262</v>
      </c>
      <c r="E23">
        <v>39</v>
      </c>
      <c r="F23">
        <v>30</v>
      </c>
      <c r="G23">
        <v>72</v>
      </c>
      <c r="H23">
        <v>50</v>
      </c>
      <c r="I23">
        <v>108</v>
      </c>
      <c r="J23">
        <v>82</v>
      </c>
      <c r="K23">
        <v>144</v>
      </c>
      <c r="L23">
        <v>109</v>
      </c>
      <c r="M23">
        <v>144</v>
      </c>
      <c r="N23">
        <v>109</v>
      </c>
    </row>
    <row r="24" spans="1:14">
      <c r="A24">
        <v>14</v>
      </c>
      <c r="B24" s="68">
        <v>43418</v>
      </c>
      <c r="C24" t="s">
        <v>244</v>
      </c>
      <c r="D24" t="s">
        <v>249</v>
      </c>
      <c r="E24">
        <v>19</v>
      </c>
      <c r="F24">
        <v>29</v>
      </c>
      <c r="G24">
        <v>45</v>
      </c>
      <c r="H24">
        <v>48</v>
      </c>
      <c r="I24">
        <v>80</v>
      </c>
      <c r="J24">
        <v>84</v>
      </c>
      <c r="K24">
        <v>113</v>
      </c>
      <c r="L24">
        <v>116</v>
      </c>
      <c r="M24">
        <v>113</v>
      </c>
      <c r="N24">
        <v>116</v>
      </c>
    </row>
    <row r="25" spans="1:14">
      <c r="A25">
        <v>15</v>
      </c>
      <c r="B25" s="68">
        <v>43420</v>
      </c>
      <c r="C25" t="s">
        <v>244</v>
      </c>
      <c r="D25" t="s">
        <v>267</v>
      </c>
      <c r="E25">
        <v>27</v>
      </c>
      <c r="F25">
        <v>40</v>
      </c>
      <c r="G25">
        <v>45</v>
      </c>
      <c r="H25">
        <v>63</v>
      </c>
      <c r="I25">
        <v>91</v>
      </c>
      <c r="J25">
        <v>80</v>
      </c>
      <c r="K25">
        <v>123</v>
      </c>
      <c r="L25">
        <v>104</v>
      </c>
      <c r="M25">
        <v>123</v>
      </c>
      <c r="N25">
        <v>104</v>
      </c>
    </row>
    <row r="26" spans="1:14">
      <c r="A26">
        <v>16</v>
      </c>
      <c r="B26" s="68">
        <v>43423</v>
      </c>
      <c r="C26" t="s">
        <v>244</v>
      </c>
      <c r="D26" t="s">
        <v>263</v>
      </c>
      <c r="E26">
        <v>25</v>
      </c>
      <c r="F26">
        <v>29</v>
      </c>
      <c r="G26">
        <v>46</v>
      </c>
      <c r="H26">
        <v>56</v>
      </c>
      <c r="I26">
        <v>78</v>
      </c>
      <c r="J26">
        <v>77</v>
      </c>
      <c r="K26">
        <v>104</v>
      </c>
      <c r="L26">
        <v>98</v>
      </c>
      <c r="M26">
        <v>104</v>
      </c>
      <c r="N26">
        <v>98</v>
      </c>
    </row>
    <row r="27" spans="1:14">
      <c r="A27">
        <v>17</v>
      </c>
      <c r="B27" s="68">
        <v>43425</v>
      </c>
      <c r="C27" t="s">
        <v>244</v>
      </c>
      <c r="D27" t="s">
        <v>270</v>
      </c>
      <c r="E27">
        <v>31</v>
      </c>
      <c r="F27">
        <v>20</v>
      </c>
      <c r="G27">
        <v>72</v>
      </c>
      <c r="H27">
        <v>50</v>
      </c>
      <c r="I27">
        <v>109</v>
      </c>
      <c r="J27">
        <v>79</v>
      </c>
      <c r="K27">
        <v>143</v>
      </c>
      <c r="L27">
        <v>100</v>
      </c>
      <c r="M27">
        <v>143</v>
      </c>
      <c r="N27">
        <v>100</v>
      </c>
    </row>
    <row r="28" spans="1:14">
      <c r="A28">
        <v>18</v>
      </c>
      <c r="B28" s="68">
        <v>43427</v>
      </c>
      <c r="C28" t="s">
        <v>244</v>
      </c>
      <c r="D28" t="s">
        <v>266</v>
      </c>
      <c r="E28">
        <v>30</v>
      </c>
      <c r="F28">
        <v>34</v>
      </c>
      <c r="G28">
        <v>61</v>
      </c>
      <c r="H28">
        <v>64</v>
      </c>
      <c r="I28">
        <v>90</v>
      </c>
      <c r="J28">
        <v>91</v>
      </c>
      <c r="K28">
        <v>114</v>
      </c>
      <c r="L28">
        <v>116</v>
      </c>
      <c r="M28">
        <v>114</v>
      </c>
      <c r="N28">
        <v>116</v>
      </c>
    </row>
    <row r="29" spans="1:14">
      <c r="A29">
        <v>19</v>
      </c>
      <c r="B29" s="68">
        <v>43428</v>
      </c>
      <c r="C29" t="s">
        <v>244</v>
      </c>
      <c r="D29" t="s">
        <v>260</v>
      </c>
      <c r="E29">
        <v>37</v>
      </c>
      <c r="F29">
        <v>36</v>
      </c>
      <c r="G29">
        <v>67</v>
      </c>
      <c r="H29">
        <v>68</v>
      </c>
      <c r="I29">
        <v>95</v>
      </c>
      <c r="J29">
        <v>102</v>
      </c>
      <c r="K29">
        <v>135</v>
      </c>
      <c r="L29">
        <v>129</v>
      </c>
      <c r="M29">
        <v>135</v>
      </c>
      <c r="N29">
        <v>129</v>
      </c>
    </row>
    <row r="30" spans="1:14">
      <c r="A30">
        <v>21</v>
      </c>
      <c r="B30" s="68">
        <v>43432</v>
      </c>
      <c r="C30" t="s">
        <v>244</v>
      </c>
      <c r="D30" t="s">
        <v>267</v>
      </c>
      <c r="E30">
        <v>30</v>
      </c>
      <c r="F30">
        <v>40</v>
      </c>
      <c r="G30">
        <v>63</v>
      </c>
      <c r="H30">
        <v>62</v>
      </c>
      <c r="I30">
        <v>92</v>
      </c>
      <c r="J30">
        <v>89</v>
      </c>
      <c r="K30">
        <v>116</v>
      </c>
      <c r="L30">
        <v>113</v>
      </c>
      <c r="M30">
        <v>116</v>
      </c>
      <c r="N30">
        <v>113</v>
      </c>
    </row>
    <row r="31" spans="1:14">
      <c r="A31">
        <v>23</v>
      </c>
      <c r="B31" s="68">
        <v>43439</v>
      </c>
      <c r="C31" t="s">
        <v>244</v>
      </c>
      <c r="D31" t="s">
        <v>248</v>
      </c>
      <c r="E31">
        <v>30</v>
      </c>
      <c r="F31">
        <v>21</v>
      </c>
      <c r="G31">
        <v>56</v>
      </c>
      <c r="H31">
        <v>45</v>
      </c>
      <c r="I31">
        <v>84</v>
      </c>
      <c r="J31">
        <v>64</v>
      </c>
      <c r="K31">
        <v>115</v>
      </c>
      <c r="L31">
        <v>92</v>
      </c>
      <c r="M31">
        <v>115</v>
      </c>
      <c r="N31">
        <v>92</v>
      </c>
    </row>
    <row r="32" spans="1:14">
      <c r="A32">
        <v>24</v>
      </c>
      <c r="B32" s="68">
        <v>43441</v>
      </c>
      <c r="C32" t="s">
        <v>244</v>
      </c>
      <c r="D32" t="s">
        <v>242</v>
      </c>
      <c r="E32">
        <v>22</v>
      </c>
      <c r="F32">
        <v>27</v>
      </c>
      <c r="G32">
        <v>51</v>
      </c>
      <c r="H32">
        <v>57</v>
      </c>
      <c r="I32">
        <v>76</v>
      </c>
      <c r="J32">
        <v>83</v>
      </c>
      <c r="K32">
        <v>95</v>
      </c>
      <c r="L32">
        <v>105</v>
      </c>
      <c r="M32">
        <v>95</v>
      </c>
      <c r="N32">
        <v>105</v>
      </c>
    </row>
    <row r="33" spans="1:14">
      <c r="A33">
        <v>26</v>
      </c>
      <c r="B33" s="68">
        <v>43444</v>
      </c>
      <c r="C33" t="s">
        <v>244</v>
      </c>
      <c r="D33" t="s">
        <v>255</v>
      </c>
      <c r="E33">
        <v>31</v>
      </c>
      <c r="F33">
        <v>18</v>
      </c>
      <c r="G33">
        <v>59</v>
      </c>
      <c r="H33">
        <v>41</v>
      </c>
      <c r="I33">
        <v>84</v>
      </c>
      <c r="J33">
        <v>66</v>
      </c>
      <c r="K33">
        <v>108</v>
      </c>
      <c r="L33">
        <v>92</v>
      </c>
      <c r="M33">
        <v>108</v>
      </c>
      <c r="N33">
        <v>92</v>
      </c>
    </row>
    <row r="34" spans="1:14">
      <c r="A34">
        <v>30</v>
      </c>
      <c r="B34" s="68">
        <v>43453</v>
      </c>
      <c r="C34" t="s">
        <v>244</v>
      </c>
      <c r="D34" t="s">
        <v>257</v>
      </c>
      <c r="E34">
        <v>33</v>
      </c>
      <c r="F34">
        <v>31</v>
      </c>
      <c r="G34">
        <v>62</v>
      </c>
      <c r="H34">
        <v>66</v>
      </c>
      <c r="I34">
        <v>90</v>
      </c>
      <c r="J34">
        <v>90</v>
      </c>
      <c r="K34">
        <v>123</v>
      </c>
      <c r="L34">
        <v>115</v>
      </c>
      <c r="M34">
        <v>123</v>
      </c>
      <c r="N34">
        <v>115</v>
      </c>
    </row>
    <row r="35" spans="1:14">
      <c r="A35">
        <v>34</v>
      </c>
      <c r="B35" s="68">
        <v>43461</v>
      </c>
      <c r="C35" t="s">
        <v>244</v>
      </c>
      <c r="D35" t="s">
        <v>254</v>
      </c>
      <c r="E35">
        <v>24</v>
      </c>
      <c r="F35">
        <v>28</v>
      </c>
      <c r="G35">
        <v>53</v>
      </c>
      <c r="H35">
        <v>48</v>
      </c>
      <c r="I35">
        <v>87</v>
      </c>
      <c r="J35">
        <v>77</v>
      </c>
      <c r="K35">
        <v>112</v>
      </c>
      <c r="L35">
        <v>96</v>
      </c>
      <c r="M35">
        <v>112</v>
      </c>
      <c r="N35">
        <v>96</v>
      </c>
    </row>
    <row r="36" spans="1:14">
      <c r="A36">
        <v>35</v>
      </c>
      <c r="B36" s="68">
        <v>43463</v>
      </c>
      <c r="C36" t="s">
        <v>244</v>
      </c>
      <c r="D36" t="s">
        <v>247</v>
      </c>
      <c r="E36">
        <v>29</v>
      </c>
      <c r="F36">
        <v>23</v>
      </c>
      <c r="G36">
        <v>71</v>
      </c>
      <c r="H36">
        <v>52</v>
      </c>
      <c r="I36">
        <v>106</v>
      </c>
      <c r="J36">
        <v>86</v>
      </c>
      <c r="K36">
        <v>129</v>
      </c>
      <c r="L36">
        <v>115</v>
      </c>
      <c r="M36">
        <v>129</v>
      </c>
      <c r="N36">
        <v>115</v>
      </c>
    </row>
    <row r="37" spans="1:14">
      <c r="A37">
        <v>36</v>
      </c>
      <c r="B37" s="68">
        <v>43466</v>
      </c>
      <c r="C37" t="s">
        <v>244</v>
      </c>
      <c r="D37" t="s">
        <v>248</v>
      </c>
      <c r="E37">
        <v>35</v>
      </c>
      <c r="F37">
        <v>27</v>
      </c>
      <c r="G37">
        <v>68</v>
      </c>
      <c r="H37">
        <v>52</v>
      </c>
      <c r="I37">
        <v>92</v>
      </c>
      <c r="J37">
        <v>73</v>
      </c>
      <c r="K37">
        <v>121</v>
      </c>
      <c r="L37">
        <v>98</v>
      </c>
      <c r="M37">
        <v>121</v>
      </c>
      <c r="N37">
        <v>98</v>
      </c>
    </row>
  </sheetData>
  <sortState xmlns:xlrd2="http://schemas.microsoft.com/office/spreadsheetml/2017/richdata2" ref="A2:R62">
    <sortCondition ref="C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1</vt:i4>
      </vt:variant>
    </vt:vector>
  </HeadingPairs>
  <TitlesOfParts>
    <vt:vector size="59" baseType="lpstr">
      <vt:lpstr>Summary</vt:lpstr>
      <vt:lpstr>Scores</vt:lpstr>
      <vt:lpstr>Analysis</vt:lpstr>
      <vt:lpstr>Sheet1</vt:lpstr>
      <vt:lpstr>Standings</vt:lpstr>
      <vt:lpstr>Nets</vt:lpstr>
      <vt:lpstr>Lakers</vt:lpstr>
      <vt:lpstr>Timberwolves</vt:lpstr>
      <vt:lpstr>Suns</vt:lpstr>
      <vt:lpstr>76ers</vt: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Learn more</vt:lpstr>
      <vt:lpstr>Sheet24</vt:lpstr>
      <vt:lpstr>Hornets</vt:lpstr>
      <vt:lpstr>Bulls</vt:lpstr>
      <vt:lpstr>Nuggets</vt:lpstr>
      <vt:lpstr>Trail Blazers</vt:lpstr>
      <vt:lpstr>Heat</vt:lpstr>
      <vt:lpstr>Pacers</vt:lpstr>
      <vt:lpstr>Pelicans</vt:lpstr>
      <vt:lpstr>Jazz</vt:lpstr>
      <vt:lpstr>Thunder</vt:lpstr>
      <vt:lpstr>Mavericks</vt:lpstr>
      <vt:lpstr>Grizzlies</vt:lpstr>
      <vt:lpstr>Kings</vt:lpstr>
      <vt:lpstr>Cavaliers</vt:lpstr>
      <vt:lpstr>Spurs</vt:lpstr>
      <vt:lpstr>Magic</vt:lpstr>
      <vt:lpstr>Raptors</vt:lpstr>
      <vt:lpstr>Pistons</vt:lpstr>
      <vt:lpstr>Knicks</vt:lpstr>
      <vt:lpstr>Celtics</vt:lpstr>
      <vt:lpstr>Warriors</vt:lpstr>
      <vt:lpstr>Rockets</vt:lpstr>
      <vt:lpstr>Wizards</vt:lpstr>
      <vt:lpstr>Clippers</vt:lpstr>
      <vt:lpstr>Hawks</vt:lpstr>
      <vt:lpstr>Bucks</vt:lpstr>
      <vt:lpstr>rng_Expenses20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dc:creator>
  <cp:lastModifiedBy>Buster</cp:lastModifiedBy>
  <dcterms:created xsi:type="dcterms:W3CDTF">2017-03-29T15:51:04Z</dcterms:created>
  <dcterms:modified xsi:type="dcterms:W3CDTF">2019-01-06T01:52:52Z</dcterms:modified>
</cp:coreProperties>
</file>